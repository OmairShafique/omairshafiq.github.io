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Main Data\Downloads\"/>
    </mc:Choice>
  </mc:AlternateContent>
  <xr:revisionPtr revIDLastSave="0" documentId="13_ncr:1_{5952EC85-E04A-4F37-AADA-4EA7221DFD38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Calculator" sheetId="1" r:id="rId1"/>
    <sheet name="Equations" sheetId="2" r:id="rId2"/>
    <sheet name="Fragility Data" sheetId="3" r:id="rId3"/>
    <sheet name="Batch" sheetId="4" r:id="rId4"/>
    <sheet name="Verification" sheetId="5" r:id="rId5"/>
    <sheet name="About" sheetId="6" r:id="rId6"/>
  </sheets>
  <definedNames>
    <definedName name="_xlnm.Print_Area" localSheetId="0">Calculator!$A$1:$J$61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7" i="5" l="1"/>
  <c r="Q67" i="5" s="1"/>
  <c r="L67" i="5"/>
  <c r="M67" i="5" s="1"/>
  <c r="P66" i="5"/>
  <c r="Q66" i="5" s="1"/>
  <c r="L66" i="5"/>
  <c r="M66" i="5" s="1"/>
  <c r="P65" i="5"/>
  <c r="Q65" i="5" s="1"/>
  <c r="L65" i="5"/>
  <c r="M65" i="5" s="1"/>
  <c r="P64" i="5"/>
  <c r="Q64" i="5" s="1"/>
  <c r="L64" i="5"/>
  <c r="M64" i="5" s="1"/>
  <c r="P63" i="5"/>
  <c r="Q63" i="5" s="1"/>
  <c r="L63" i="5"/>
  <c r="M63" i="5" s="1"/>
  <c r="P62" i="5"/>
  <c r="Q62" i="5" s="1"/>
  <c r="L62" i="5"/>
  <c r="M62" i="5" s="1"/>
  <c r="P61" i="5"/>
  <c r="Q61" i="5" s="1"/>
  <c r="L61" i="5"/>
  <c r="M61" i="5" s="1"/>
  <c r="P60" i="5"/>
  <c r="Q60" i="5" s="1"/>
  <c r="L60" i="5"/>
  <c r="M60" i="5" s="1"/>
  <c r="P59" i="5"/>
  <c r="Q59" i="5" s="1"/>
  <c r="L59" i="5"/>
  <c r="M59" i="5" s="1"/>
  <c r="P58" i="5"/>
  <c r="Q58" i="5" s="1"/>
  <c r="L58" i="5"/>
  <c r="M58" i="5" s="1"/>
  <c r="P57" i="5"/>
  <c r="Q57" i="5" s="1"/>
  <c r="L57" i="5"/>
  <c r="M57" i="5" s="1"/>
  <c r="P56" i="5"/>
  <c r="Q56" i="5" s="1"/>
  <c r="L56" i="5"/>
  <c r="M56" i="5" s="1"/>
  <c r="P55" i="5"/>
  <c r="Q55" i="5" s="1"/>
  <c r="L55" i="5"/>
  <c r="M55" i="5" s="1"/>
  <c r="P54" i="5"/>
  <c r="Q54" i="5" s="1"/>
  <c r="L54" i="5"/>
  <c r="M54" i="5" s="1"/>
  <c r="P53" i="5"/>
  <c r="Q53" i="5" s="1"/>
  <c r="L53" i="5"/>
  <c r="M53" i="5" s="1"/>
  <c r="P52" i="5"/>
  <c r="Q52" i="5" s="1"/>
  <c r="L52" i="5"/>
  <c r="M52" i="5" s="1"/>
  <c r="P51" i="5"/>
  <c r="Q51" i="5" s="1"/>
  <c r="L51" i="5"/>
  <c r="M51" i="5" s="1"/>
  <c r="P50" i="5"/>
  <c r="Q50" i="5" s="1"/>
  <c r="L50" i="5"/>
  <c r="M50" i="5" s="1"/>
  <c r="P49" i="5"/>
  <c r="Q49" i="5" s="1"/>
  <c r="L49" i="5"/>
  <c r="M49" i="5" s="1"/>
  <c r="P48" i="5"/>
  <c r="Q48" i="5" s="1"/>
  <c r="L48" i="5"/>
  <c r="M48" i="5" s="1"/>
  <c r="P47" i="5"/>
  <c r="Q47" i="5" s="1"/>
  <c r="L47" i="5"/>
  <c r="M47" i="5" s="1"/>
  <c r="P46" i="5"/>
  <c r="Q46" i="5" s="1"/>
  <c r="L46" i="5"/>
  <c r="M46" i="5" s="1"/>
  <c r="P45" i="5"/>
  <c r="Q45" i="5" s="1"/>
  <c r="L45" i="5"/>
  <c r="M45" i="5" s="1"/>
  <c r="P44" i="5"/>
  <c r="Q44" i="5" s="1"/>
  <c r="L44" i="5"/>
  <c r="M44" i="5" s="1"/>
  <c r="P43" i="5"/>
  <c r="Q43" i="5" s="1"/>
  <c r="L43" i="5"/>
  <c r="M43" i="5" s="1"/>
  <c r="P42" i="5"/>
  <c r="Q42" i="5" s="1"/>
  <c r="L42" i="5"/>
  <c r="M42" i="5" s="1"/>
  <c r="P41" i="5"/>
  <c r="Q41" i="5" s="1"/>
  <c r="L41" i="5"/>
  <c r="M41" i="5" s="1"/>
  <c r="P40" i="5"/>
  <c r="Q40" i="5" s="1"/>
  <c r="L40" i="5"/>
  <c r="M40" i="5" s="1"/>
  <c r="P39" i="5"/>
  <c r="Q39" i="5" s="1"/>
  <c r="L39" i="5"/>
  <c r="M39" i="5" s="1"/>
  <c r="P38" i="5"/>
  <c r="Q38" i="5" s="1"/>
  <c r="L38" i="5"/>
  <c r="M38" i="5" s="1"/>
  <c r="P37" i="5"/>
  <c r="Q37" i="5" s="1"/>
  <c r="L37" i="5"/>
  <c r="M37" i="5" s="1"/>
  <c r="P36" i="5"/>
  <c r="Q36" i="5" s="1"/>
  <c r="L36" i="5"/>
  <c r="M36" i="5" s="1"/>
  <c r="P35" i="5"/>
  <c r="Q35" i="5" s="1"/>
  <c r="L35" i="5"/>
  <c r="M35" i="5" s="1"/>
  <c r="P34" i="5"/>
  <c r="Q34" i="5" s="1"/>
  <c r="L34" i="5"/>
  <c r="M34" i="5" s="1"/>
  <c r="P33" i="5"/>
  <c r="Q33" i="5" s="1"/>
  <c r="M33" i="5"/>
  <c r="L33" i="5"/>
  <c r="P32" i="5"/>
  <c r="Q32" i="5" s="1"/>
  <c r="L32" i="5"/>
  <c r="M32" i="5" s="1"/>
  <c r="P31" i="5"/>
  <c r="Q31" i="5" s="1"/>
  <c r="L31" i="5"/>
  <c r="M31" i="5" s="1"/>
  <c r="P30" i="5"/>
  <c r="Q30" i="5" s="1"/>
  <c r="L30" i="5"/>
  <c r="M30" i="5" s="1"/>
  <c r="P29" i="5"/>
  <c r="Q29" i="5" s="1"/>
  <c r="L29" i="5"/>
  <c r="M29" i="5" s="1"/>
  <c r="P28" i="5"/>
  <c r="Q28" i="5" s="1"/>
  <c r="L28" i="5"/>
  <c r="M28" i="5" s="1"/>
  <c r="P27" i="5"/>
  <c r="Q27" i="5" s="1"/>
  <c r="L27" i="5"/>
  <c r="M27" i="5" s="1"/>
  <c r="P26" i="5"/>
  <c r="Q26" i="5" s="1"/>
  <c r="L26" i="5"/>
  <c r="M26" i="5" s="1"/>
  <c r="P25" i="5"/>
  <c r="Q25" i="5" s="1"/>
  <c r="L25" i="5"/>
  <c r="M25" i="5" s="1"/>
  <c r="P24" i="5"/>
  <c r="Q24" i="5" s="1"/>
  <c r="L24" i="5"/>
  <c r="M24" i="5" s="1"/>
  <c r="P23" i="5"/>
  <c r="Q23" i="5" s="1"/>
  <c r="L23" i="5"/>
  <c r="M23" i="5" s="1"/>
  <c r="P22" i="5"/>
  <c r="Q22" i="5" s="1"/>
  <c r="L22" i="5"/>
  <c r="M22" i="5" s="1"/>
  <c r="P21" i="5"/>
  <c r="Q21" i="5" s="1"/>
  <c r="L21" i="5"/>
  <c r="M21" i="5" s="1"/>
  <c r="P20" i="5"/>
  <c r="Q20" i="5" s="1"/>
  <c r="L20" i="5"/>
  <c r="M20" i="5" s="1"/>
  <c r="P19" i="5"/>
  <c r="Q19" i="5" s="1"/>
  <c r="L19" i="5"/>
  <c r="M19" i="5" s="1"/>
  <c r="P18" i="5"/>
  <c r="Q18" i="5" s="1"/>
  <c r="L18" i="5"/>
  <c r="M18" i="5" s="1"/>
  <c r="P17" i="5"/>
  <c r="Q17" i="5" s="1"/>
  <c r="L17" i="5"/>
  <c r="M17" i="5" s="1"/>
  <c r="P16" i="5"/>
  <c r="Q16" i="5" s="1"/>
  <c r="L16" i="5"/>
  <c r="M16" i="5" s="1"/>
  <c r="P15" i="5"/>
  <c r="Q15" i="5" s="1"/>
  <c r="L15" i="5"/>
  <c r="M15" i="5" s="1"/>
  <c r="P14" i="5"/>
  <c r="Q14" i="5" s="1"/>
  <c r="L14" i="5"/>
  <c r="M14" i="5" s="1"/>
  <c r="P13" i="5"/>
  <c r="Q13" i="5" s="1"/>
  <c r="L13" i="5"/>
  <c r="M13" i="5" s="1"/>
  <c r="P12" i="5"/>
  <c r="Q12" i="5" s="1"/>
  <c r="L12" i="5"/>
  <c r="M12" i="5" s="1"/>
  <c r="P11" i="5"/>
  <c r="Q11" i="5" s="1"/>
  <c r="L11" i="5"/>
  <c r="M11" i="5" s="1"/>
  <c r="P10" i="5"/>
  <c r="Q10" i="5" s="1"/>
  <c r="L10" i="5"/>
  <c r="M10" i="5" s="1"/>
  <c r="P9" i="5"/>
  <c r="Q9" i="5" s="1"/>
  <c r="L9" i="5"/>
  <c r="M9" i="5" s="1"/>
  <c r="P8" i="5"/>
  <c r="Q8" i="5" s="1"/>
  <c r="L8" i="5"/>
  <c r="M8" i="5" s="1"/>
  <c r="P7" i="5"/>
  <c r="Q7" i="5" s="1"/>
  <c r="L7" i="5"/>
  <c r="M7" i="5" s="1"/>
  <c r="P6" i="5"/>
  <c r="Q6" i="5" s="1"/>
  <c r="L6" i="5"/>
  <c r="M6" i="5" s="1"/>
  <c r="P5" i="5"/>
  <c r="Q5" i="5" s="1"/>
  <c r="L5" i="5"/>
  <c r="M5" i="5" s="1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T8" i="4"/>
  <c r="Q8" i="4"/>
  <c r="R8" i="4" s="1"/>
  <c r="P8" i="4"/>
  <c r="S8" i="4" s="1"/>
  <c r="O8" i="4"/>
  <c r="U8" i="4" s="1"/>
  <c r="Q7" i="4"/>
  <c r="R7" i="4" s="1"/>
  <c r="P7" i="4"/>
  <c r="S7" i="4" s="1"/>
  <c r="O7" i="4"/>
  <c r="Q6" i="4"/>
  <c r="R6" i="4" s="1"/>
  <c r="P6" i="4"/>
  <c r="S6" i="4" s="1"/>
  <c r="O6" i="4"/>
  <c r="T5" i="4"/>
  <c r="S5" i="4"/>
  <c r="Q5" i="4"/>
  <c r="R5" i="4" s="1"/>
  <c r="U5" i="4" s="1"/>
  <c r="P5" i="4"/>
  <c r="O5" i="4"/>
  <c r="G3" i="3"/>
  <c r="G2" i="3"/>
  <c r="C41" i="1"/>
  <c r="D38" i="1"/>
  <c r="D35" i="1"/>
  <c r="D36" i="1" s="1"/>
  <c r="D37" i="1" s="1"/>
  <c r="H15" i="1" s="1"/>
  <c r="H19" i="1" s="1"/>
  <c r="D34" i="1"/>
  <c r="H33" i="1"/>
  <c r="D33" i="1"/>
  <c r="H32" i="1"/>
  <c r="H31" i="1"/>
  <c r="H30" i="1"/>
  <c r="H29" i="1"/>
  <c r="H28" i="1"/>
  <c r="H27" i="1"/>
  <c r="H14" i="1"/>
  <c r="H18" i="1" s="1"/>
  <c r="H13" i="1"/>
  <c r="H17" i="1" s="1"/>
  <c r="H6" i="1"/>
  <c r="W8" i="4" l="1"/>
  <c r="Y8" i="4"/>
  <c r="Z8" i="4"/>
  <c r="V8" i="4"/>
  <c r="W7" i="4"/>
  <c r="Y7" i="4"/>
  <c r="U7" i="4"/>
  <c r="T7" i="4"/>
  <c r="T6" i="4"/>
  <c r="U6" i="4"/>
  <c r="W5" i="4"/>
  <c r="Z5" i="4"/>
  <c r="V5" i="4"/>
  <c r="Y5" i="4"/>
  <c r="J19" i="1"/>
  <c r="C44" i="1"/>
  <c r="C50" i="1"/>
  <c r="J18" i="1"/>
  <c r="C49" i="1"/>
  <c r="C48" i="1"/>
  <c r="C43" i="1"/>
  <c r="C45" i="1"/>
  <c r="C46" i="1"/>
  <c r="C47" i="1"/>
  <c r="C42" i="1"/>
  <c r="J17" i="1"/>
  <c r="H34" i="1" s="1"/>
  <c r="Q69" i="5"/>
  <c r="M69" i="5"/>
  <c r="X8" i="4"/>
  <c r="X5" i="4"/>
  <c r="AA8" i="4" l="1"/>
  <c r="AC8" i="4"/>
  <c r="AB8" i="4"/>
  <c r="AA5" i="4"/>
  <c r="AC5" i="4"/>
  <c r="AB5" i="4"/>
  <c r="H42" i="1"/>
  <c r="I42" i="1" s="1"/>
  <c r="H40" i="1"/>
  <c r="H43" i="1"/>
  <c r="I43" i="1" s="1"/>
  <c r="H41" i="1"/>
  <c r="I41" i="1" s="1"/>
  <c r="X7" i="4"/>
  <c r="V7" i="4"/>
  <c r="Z7" i="4"/>
  <c r="X6" i="4"/>
  <c r="V6" i="4"/>
  <c r="W6" i="4"/>
  <c r="Y6" i="4"/>
  <c r="Z6" i="4"/>
  <c r="D61" i="3" l="1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I40" i="1"/>
  <c r="H45" i="1"/>
  <c r="H46" i="1"/>
  <c r="B55" i="1"/>
  <c r="E2" i="3"/>
  <c r="E4" i="3"/>
  <c r="E5" i="3"/>
  <c r="E6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3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C62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61" i="3"/>
  <c r="C63" i="3"/>
  <c r="C64" i="3"/>
  <c r="C65" i="3"/>
  <c r="C66" i="3"/>
  <c r="C67" i="3"/>
  <c r="C68" i="3"/>
  <c r="C69" i="3"/>
  <c r="C70" i="3"/>
  <c r="C71" i="3"/>
  <c r="C72" i="3"/>
  <c r="C73" i="3"/>
  <c r="C74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3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C4" i="3"/>
  <c r="C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AC7" i="4"/>
  <c r="AB7" i="4"/>
  <c r="AA7" i="4"/>
  <c r="AC6" i="4"/>
  <c r="AB6" i="4"/>
  <c r="AA6" i="4"/>
  <c r="B132" i="3" l="1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3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62" i="3"/>
  <c r="B64" i="3"/>
  <c r="B65" i="3"/>
  <c r="B66" i="3"/>
  <c r="B67" i="3"/>
  <c r="B68" i="3"/>
  <c r="B69" i="3"/>
  <c r="B70" i="3"/>
  <c r="B71" i="3"/>
  <c r="B72" i="3"/>
  <c r="B73" i="3"/>
  <c r="B74" i="3"/>
  <c r="B75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3" authorId="0" shapeId="0" xr:uid="{00000000-0006-0000-0000-000001000000}">
      <text>
        <r>
          <rPr>
            <sz val="10"/>
            <rFont val="Arial"/>
            <family val="2"/>
          </rPr>
          <t>Scope 1–10 storeys.</t>
        </r>
      </text>
    </comment>
    <comment ref="D14" authorId="0" shapeId="0" xr:uid="{00000000-0006-0000-0000-000002000000}">
      <text>
        <r>
          <rPr>
            <sz val="10"/>
            <rFont val="Arial"/>
            <family val="2"/>
          </rPr>
          <t>Archetypes: 4 m ground storey + 3 m upper storeys, i.e. H = 4 + 3(N−1).</t>
        </r>
      </text>
    </comment>
    <comment ref="D23" authorId="0" shapeId="0" xr:uid="{00000000-0006-0000-0000-000003000000}">
      <text>
        <r>
          <rPr>
            <sz val="10"/>
            <rFont val="Arial"/>
            <family val="2"/>
          </rPr>
          <t>Same as typical floor = flat roof (ρtop = 0). Fewer bays = rooftop addition.</t>
        </r>
      </text>
    </comment>
    <comment ref="D25" authorId="0" shapeId="0" xr:uid="{00000000-0006-0000-0000-000004000000}">
      <text>
        <r>
          <rPr>
            <sz val="10"/>
            <rFont val="Arial"/>
            <family val="2"/>
          </rPr>
          <t>Training levels 20, 25, 30, 35 MPa.</t>
        </r>
      </text>
    </comment>
    <comment ref="D26" authorId="0" shapeId="0" xr:uid="{00000000-0006-0000-0000-000005000000}">
      <text>
        <r>
          <rPr>
            <sz val="10"/>
            <rFont val="Arial"/>
            <family val="2"/>
          </rPr>
          <t>Training levels 280, 420, 550 MPa.</t>
        </r>
      </text>
    </comment>
    <comment ref="D27" authorId="0" shapeId="0" xr:uid="{00000000-0006-0000-0000-000006000000}">
      <text>
        <r>
          <rPr>
            <sz val="10"/>
            <rFont val="Arial"/>
            <family val="2"/>
          </rPr>
          <t>Applicability check only; not an equation input.</t>
        </r>
      </text>
    </comment>
    <comment ref="D28" authorId="0" shapeId="0" xr:uid="{00000000-0006-0000-0000-000007000000}">
      <text>
        <r>
          <rPr>
            <sz val="10"/>
            <rFont val="Arial"/>
            <family val="2"/>
          </rPr>
          <t>Only this option is inside the training typology.</t>
        </r>
      </text>
    </comment>
    <comment ref="D29" authorId="0" shapeId="0" xr:uid="{00000000-0006-0000-0000-000008000000}">
      <text>
        <r>
          <rPr>
            <sz val="10"/>
            <rFont val="Arial"/>
            <family val="2"/>
          </rPr>
          <t>Design PGA from the national hazard map.</t>
        </r>
      </text>
    </comment>
    <comment ref="D30" authorId="0" shapeId="0" xr:uid="{00000000-0006-0000-0000-000009000000}">
      <text>
        <r>
          <rPr>
            <sz val="10"/>
            <rFont val="Arial"/>
            <family val="2"/>
          </rPr>
          <t>User input. The equations give medians only; the 11-record suite likely underestimates β.</t>
        </r>
      </text>
    </comment>
    <comment ref="D34" authorId="0" shapeId="0" xr:uid="{00000000-0006-0000-0000-00000A000000}">
      <text>
        <r>
          <rPr>
            <sz val="10"/>
            <rFont val="Arial"/>
            <family val="2"/>
          </rPr>
          <t>Period estimate also used for the T̄ values of the external pool (Table A.16). For a modal period, switch Input mode to Macro-parameters.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100-000001000000}">
      <text>
        <r>
          <rPr>
            <sz val="10"/>
            <rFont val="Arial"/>
            <family val="2"/>
          </rPr>
          <t>Table A.18 lists 0.1619 (rounding). The main-text equation, used here, gives 0.1618.</t>
        </r>
      </text>
    </comment>
    <comment ref="C9" authorId="0" shapeId="0" xr:uid="{00000000-0006-0000-0100-000002000000}">
      <text>
        <r>
          <rPr>
            <sz val="10"/>
            <rFont val="Arial"/>
            <family val="2"/>
          </rPr>
          <t>Table A.18 lists −0.0579 (rounding). The main-text equation, used here, gives −0.0578.</t>
        </r>
      </text>
    </comment>
  </commentList>
</comments>
</file>

<file path=xl/sharedStrings.xml><?xml version="1.0" encoding="utf-8"?>
<sst xmlns="http://schemas.openxmlformats.org/spreadsheetml/2006/main" count="436" uniqueCount="267">
  <si>
    <t>EIDA FRAMEWORK · CLOSED-FORM MEDIAN-CAPACITY SCREENING CALCULATOR</t>
  </si>
  <si>
    <t>Gravity-designed, non-seismically detailed RC bare frames · Shafiq et al., Structures 94 (2026) 113186 · doi:10.1016/j.istruc.2026.113186</t>
  </si>
  <si>
    <t>Yellow cells are inputs. Everything else is calculated. Coefficients live on the Equations sheet; Batch screens many frames; Verification reproduces Table A.17.</t>
  </si>
  <si>
    <t>STEP 00 · PROJECT</t>
  </si>
  <si>
    <t>Project name</t>
  </si>
  <si>
    <t>Example frame</t>
  </si>
  <si>
    <t>Date</t>
  </si>
  <si>
    <t>Location</t>
  </si>
  <si>
    <t>Input mode</t>
  </si>
  <si>
    <t>Drawings</t>
  </si>
  <si>
    <t>Engineer / user</t>
  </si>
  <si>
    <t>Drawings: T̄, SR, λeff are computed from the Step 01 inputs. Macro-parameters: the values typed in H22:H24 are used instead (e.g. a modal period).</t>
  </si>
  <si>
    <t>Reference</t>
  </si>
  <si>
    <t>STEP 01 · INPUTS FROM DRAWINGS</t>
  </si>
  <si>
    <t>STEP 02 · MACRO-PARAMETERS &amp; APPLICABILITY</t>
  </si>
  <si>
    <t>Parameter</t>
  </si>
  <si>
    <t>Symbol</t>
  </si>
  <si>
    <t>Value</t>
  </si>
  <si>
    <t>Unit</t>
  </si>
  <si>
    <t>Value used</t>
  </si>
  <si>
    <t>Applicability</t>
  </si>
  <si>
    <t>Status</t>
  </si>
  <si>
    <t>Storeys (total, incl. rooftop addition)</t>
  </si>
  <si>
    <t>N</t>
  </si>
  <si>
    <t>–</t>
  </si>
  <si>
    <t>From drawings: T̄ = T√(g/H)</t>
  </si>
  <si>
    <t>Table 3 definition</t>
  </si>
  <si>
    <t>Total height</t>
  </si>
  <si>
    <t>H</t>
  </si>
  <si>
    <t>m</t>
  </si>
  <si>
    <t>From drawings: SR = (bc·hc³/bb·hb³)(B/H)³</t>
  </si>
  <si>
    <t>Plan width</t>
  </si>
  <si>
    <t>W</t>
  </si>
  <si>
    <t>From drawings: λeff = (H/B)(1−Iv)</t>
  </si>
  <si>
    <t>Plan span</t>
  </si>
  <si>
    <t>S</t>
  </si>
  <si>
    <t>Dominant column width</t>
  </si>
  <si>
    <t>bc</t>
  </si>
  <si>
    <t>Normalised period, T̄</t>
  </si>
  <si>
    <t>0.174 – 1.486 (Table 11)</t>
  </si>
  <si>
    <t>Dominant column depth</t>
  </si>
  <si>
    <t>hc</t>
  </si>
  <si>
    <t>Stiffness ratio, SR</t>
  </si>
  <si>
    <t>0.00 – 13.05 (Table 11, 5–95 pct.)</t>
  </si>
  <si>
    <t>Dominant beam width</t>
  </si>
  <si>
    <t>bb</t>
  </si>
  <si>
    <t>Effective slenderness, λeff</t>
  </si>
  <si>
    <t>0.25 – 4.55 (training 5–95 pct.)</t>
  </si>
  <si>
    <t>Dominant beam depth</t>
  </si>
  <si>
    <t>hb</t>
  </si>
  <si>
    <t>Typical-floor bays X</t>
  </si>
  <si>
    <t>nx</t>
  </si>
  <si>
    <t>Macro-parameter inputs (used only when Input mode = Macro-parameters)</t>
  </si>
  <si>
    <t>Typical-floor bays Y</t>
  </si>
  <si>
    <t>ny</t>
  </si>
  <si>
    <t>T̄ (direct)</t>
  </si>
  <si>
    <t>Top-storey bays X</t>
  </si>
  <si>
    <t>ntx</t>
  </si>
  <si>
    <t>SR (direct)</t>
  </si>
  <si>
    <t>Top-storey bays Y</t>
  </si>
  <si>
    <t>nty</t>
  </si>
  <si>
    <t>λeff (direct)</t>
  </si>
  <si>
    <t>Concrete strength</t>
  </si>
  <si>
    <t>f'c</t>
  </si>
  <si>
    <t>MPa</t>
  </si>
  <si>
    <t>Steel yield strength</t>
  </si>
  <si>
    <t>fy</t>
  </si>
  <si>
    <t>Table 11 checks</t>
  </si>
  <si>
    <t>Foundation condition</t>
  </si>
  <si>
    <t>Storeys 1–10</t>
  </si>
  <si>
    <t>Structural system</t>
  </si>
  <si>
    <t>Bare RC frame (gravity-designed)</t>
  </si>
  <si>
    <t>Bay aspect ratio 1/3–3</t>
  </si>
  <si>
    <t>Site PGA</t>
  </si>
  <si>
    <t>ag</t>
  </si>
  <si>
    <t>g</t>
  </si>
  <si>
    <t>f'c 20–35 MPa</t>
  </si>
  <si>
    <t>Lognormal dispersion</t>
  </si>
  <si>
    <t>β</t>
  </si>
  <si>
    <t>fy 280–550 MPa</t>
  </si>
  <si>
    <t>DERIVED GEOMETRY</t>
  </si>
  <si>
    <t>Shortest base width, B = min(W,S)</t>
  </si>
  <si>
    <t>B</t>
  </si>
  <si>
    <t>Top storey within grid</t>
  </si>
  <si>
    <t>Estimated period, T = 0.075H^0.75</t>
  </si>
  <si>
    <t>T</t>
  </si>
  <si>
    <t>s</t>
  </si>
  <si>
    <t>Applicability summary</t>
  </si>
  <si>
    <t>Top-storey coverage</t>
  </si>
  <si>
    <t>cov</t>
  </si>
  <si>
    <t>In Drawings mode the Table 11 checks apply to the drawing inputs. In Macro-parameters mode only the T̄, SR, λeff ranges are meaningful.</t>
  </si>
  <si>
    <t>Rooftop addition ratio ρtop</t>
  </si>
  <si>
    <t>ρtop</t>
  </si>
  <si>
    <t>Irregularity index Iv = ρtop/(N+ρtop)</t>
  </si>
  <si>
    <t>Iv</t>
  </si>
  <si>
    <t>Bay aspect ratio (W/nx)/(S/ny)</t>
  </si>
  <si>
    <t>AR</t>
  </si>
  <si>
    <t>STEP 03 · MEDIAN PGA CAPACITY μ̂ (g)</t>
  </si>
  <si>
    <t>Damage state</t>
  </si>
  <si>
    <t>Raw equation</t>
  </si>
  <si>
    <t>μ̂ after sign check</t>
  </si>
  <si>
    <t>Use (paper)</t>
  </si>
  <si>
    <t>POLYNOMIAL TERMS (values used in Step 02)</t>
  </si>
  <si>
    <t>DS1 · Slight</t>
  </si>
  <si>
    <t>Transferable estimator</t>
  </si>
  <si>
    <t>term: 1</t>
  </si>
  <si>
    <t>DS2 · Moderate</t>
  </si>
  <si>
    <t>Internal only</t>
  </si>
  <si>
    <t>term: T̄</t>
  </si>
  <si>
    <t>DS3 · Extensive</t>
  </si>
  <si>
    <t>Diagnostic only</t>
  </si>
  <si>
    <t>term: SR</t>
  </si>
  <si>
    <t>DS4 · Complete</t>
  </si>
  <si>
    <t>term: λeff</t>
  </si>
  <si>
    <t>term: T̄²</t>
  </si>
  <si>
    <t>Sign check (Section 5)</t>
  </si>
  <si>
    <t>term: T̄·SR</t>
  </si>
  <si>
    <t>Ordering check μ̂DS1≤μ̂DS2≤μ̂DS3≤μ̂DS4</t>
  </si>
  <si>
    <t>term: T̄·λeff</t>
  </si>
  <si>
    <t>term: SR²</t>
  </si>
  <si>
    <t>term: SR·λeff</t>
  </si>
  <si>
    <t>term: λeff²</t>
  </si>
  <si>
    <t>STEP 04 · SCREENING DECISION (tool convention, not part of the paper)</t>
  </si>
  <si>
    <t>LOW: ag &lt; μ̂DS1</t>
  </si>
  <si>
    <t>MODERATE: μ̂DS1 ≤ ag &lt; μ̂DS2</t>
  </si>
  <si>
    <t>HIGH: ag ≥ μ̂DS2</t>
  </si>
  <si>
    <t>Checks failed → cannot classify</t>
  </si>
  <si>
    <t>DS1 is the transferable first-order estimate (R²ext 0.408 by configuration, 0.310 by study). The DS2 boundary is internally reliable but has no demonstrated study-level transferability (R²ext 0.091 → −0.299). DS3–DS4 are diagnostic only and never drive the decision.</t>
  </si>
  <si>
    <t>Cite: Shafiq O, Wan Ahmad S, Khan G, Khattak Z, Ishaq F. Closed-form dimensionless median-capacity models for RC bare frame seismic fragility derivation. Structures 2026;94:113186.</t>
  </si>
  <si>
    <t>Data: data.mendeley.com/datasets/hzhg95752g/5 · Pipeline: github.com/OmairShafique/EIDA/releases/tag/v1.0.1 · Omair Shafiq · omair.shafiq1998@gmail.com</t>
  </si>
  <si>
    <t>RECOMMENDED EQUATIONS · COEFFICIENT TABLE</t>
  </si>
  <si>
    <t>μ̂(g) = Σ coefficient × term. Source: Shafiq et al., Structures 94 (2026) 113186, Section 3.6 (main-text equations). Zero = inactive term. Every calculator, batch and verification formula reads its coefficients from this table.</t>
  </si>
  <si>
    <t>COEFFICIENTS (main text, Section 3.6)</t>
  </si>
  <si>
    <t>BOOTSTRAP SELECTION FREQUENCY % (Table A.18)</t>
  </si>
  <si>
    <t>Term</t>
  </si>
  <si>
    <t>DS1</t>
  </si>
  <si>
    <t>DS2</t>
  </si>
  <si>
    <t>DS3</t>
  </si>
  <si>
    <t>DS4</t>
  </si>
  <si>
    <t>1</t>
  </si>
  <si>
    <t>T̄</t>
  </si>
  <si>
    <t>SR</t>
  </si>
  <si>
    <t>λeff</t>
  </si>
  <si>
    <t>T̄²</t>
  </si>
  <si>
    <t>T̄·SR</t>
  </si>
  <si>
    <t>T̄·λeff</t>
  </si>
  <si>
    <t>SR²</t>
  </si>
  <si>
    <t>SR·λeff</t>
  </si>
  <si>
    <t>λeff²</t>
  </si>
  <si>
    <t>SELECTION AND RELIABILITY (Tables 9, 10, 12; Section 3.7)</t>
  </si>
  <si>
    <t>DS</t>
  </si>
  <si>
    <t>Method</t>
  </si>
  <si>
    <t>Active terms</t>
  </si>
  <si>
    <t>R² repeated-CV</t>
  </si>
  <si>
    <t>R² internal test</t>
  </si>
  <si>
    <t>Repeated split (mean ± SD)</t>
  </si>
  <si>
    <t>R²ext config</t>
  </si>
  <si>
    <t>R²ext study</t>
  </si>
  <si>
    <t>LOSO range</t>
  </si>
  <si>
    <t>Elastic Net</t>
  </si>
  <si>
    <t>0.877 ± 0.132</t>
  </si>
  <si>
    <t>0.352 to 0.470</t>
  </si>
  <si>
    <t>Transferable first-order estimator</t>
  </si>
  <si>
    <t>Stepwise (BIC)</t>
  </si>
  <si>
    <t>0.568 ± 0.337</t>
  </si>
  <si>
    <t>0.017 to 0.130</t>
  </si>
  <si>
    <t>Internally reliable; no study-level transferability</t>
  </si>
  <si>
    <t>0.277 ± 0.231</t>
  </si>
  <si>
    <t>−2.623 to −0.783</t>
  </si>
  <si>
    <t>0.042 ± 0.413</t>
  </si>
  <si>
    <t>−3.471 to −0.480</t>
  </si>
  <si>
    <t>Notes. Equations are degree-2 polynomials (poly2-std) selected by Score = R²CV,repeated − 0.01·N_terms, frozen before any external data were used. R²ext uses 63 configurations from 10 studies; "study" collapses each study to one observation (the more conservative reading). LOSO = leave-one-study-out range of the configuration-level R². Mandatory post-processing (Section 5): clip or flag negative μ̂, and check μ̂DS1 ≤ μ̂DS2 ≤ μ̂DS3 ≤ μ̂DS4. Only DS1 can go negative inside the applicability box, where high SR coincides with high λeff (SR–λeff correlation in training r = −0.48).</t>
  </si>
  <si>
    <t>PGA (g)</t>
  </si>
  <si>
    <t>DS1 Slight</t>
  </si>
  <si>
    <t>DS2 Moderate</t>
  </si>
  <si>
    <t>DS3 (diagnostic)</t>
  </si>
  <si>
    <t>DS4 (diagnostic)</t>
  </si>
  <si>
    <t>P</t>
  </si>
  <si>
    <t>P(DS≥ds|PGA) = Φ[ln(PGA/μ̂)/β], μ̂ after the sign check, β from Calculator!D30. DS3–DS4 are diagnostic only.</t>
  </si>
  <si>
    <t>BATCH SCREENING · one frame per row · yellow = inputs · same equations and checks as the Calculator</t>
  </si>
  <si>
    <t>Rows with a blank N are ignored. T = 0.075H^0.75; ρtop = 0 when the top storey covers the full grid. Range check uses T̄ 0.174–1.486, SR 0–13.05, λeff 0.25–4.55 and N 1–10. Decision is this tool's convention, not part of the paper.</t>
  </si>
  <si>
    <t>Frame ID</t>
  </si>
  <si>
    <t>H (m)</t>
  </si>
  <si>
    <t>W (m)</t>
  </si>
  <si>
    <t>S (m)</t>
  </si>
  <si>
    <t>bc (m)</t>
  </si>
  <si>
    <t>hc (m)</t>
  </si>
  <si>
    <t>bb (m)</t>
  </si>
  <si>
    <t>hb (m)</t>
  </si>
  <si>
    <t>Top nx</t>
  </si>
  <si>
    <t>Top ny</t>
  </si>
  <si>
    <t>ag (g)</t>
  </si>
  <si>
    <t>B (m)</t>
  </si>
  <si>
    <t>T (s)</t>
  </si>
  <si>
    <t>μ̂DS1 raw</t>
  </si>
  <si>
    <t>μ̂DS2 raw</t>
  </si>
  <si>
    <t>μ̂DS3 raw</t>
  </si>
  <si>
    <t>μ̂DS4 raw</t>
  </si>
  <si>
    <t>Range check</t>
  </si>
  <si>
    <t>Sign check</t>
  </si>
  <si>
    <t>Order check</t>
  </si>
  <si>
    <t>Decision</t>
  </si>
  <si>
    <t>Example A</t>
  </si>
  <si>
    <t>Example B</t>
  </si>
  <si>
    <t>Example C</t>
  </si>
  <si>
    <t>Example D</t>
  </si>
  <si>
    <t>VERIFICATION · external pool (Tables A.16 and A.17) recomputed with this workbook's equations</t>
  </si>
  <si>
    <t>Inputs and published/paper-predicted medians transcribed from Tables A.16–A.17 (g). "This workbook" uses the Equations sheet with the 0.01 g floor. Δ = difference from the paper's prediction; ±0.001–0.004 g reflects rounding of T̄ in Table A.16. Four rows where the two tables disagree are noted in column R. * = transparency only, not transferability evidence.</t>
  </si>
  <si>
    <t>#</t>
  </si>
  <si>
    <t>Study</t>
  </si>
  <si>
    <t>Applicability group</t>
  </si>
  <si>
    <t>DS1 published</t>
  </si>
  <si>
    <t>DS1 paper pred.</t>
  </si>
  <si>
    <t>DS1 this workbook</t>
  </si>
  <si>
    <t>Δ vs paper</t>
  </si>
  <si>
    <t>DS2 published</t>
  </si>
  <si>
    <t>DS2 paper pred.</t>
  </si>
  <si>
    <t>DS2 this workbook</t>
  </si>
  <si>
    <t>Transcription note</t>
  </si>
  <si>
    <t>Rosti et al.</t>
  </si>
  <si>
    <t>Compatible-Empirical</t>
  </si>
  <si>
    <t>A.16 inputs do not reproduce the A.17 prediction (λeff 1.221 looks inconsistent with H/B = 2.12).</t>
  </si>
  <si>
    <t>Biglari et al.</t>
  </si>
  <si>
    <t>Incompatible-Typology*</t>
  </si>
  <si>
    <t>Del Gaudio et al.</t>
  </si>
  <si>
    <t>Altunışık et al.</t>
  </si>
  <si>
    <t>Small mismatch: A.16 λeff 2.589 vs 2.598 in neighbouring rows.</t>
  </si>
  <si>
    <t>—</t>
  </si>
  <si>
    <t>A.17 prediction matches SR = 3.0; A.16 lists 2.5.</t>
  </si>
  <si>
    <t>Tsoumani et al.</t>
  </si>
  <si>
    <t>A.16 inputs do not reproduce the A.17 prediction.</t>
  </si>
  <si>
    <t>Panda et al.</t>
  </si>
  <si>
    <t>Compatible-Analytical</t>
  </si>
  <si>
    <t>Abbasi et al.</t>
  </si>
  <si>
    <t>Nonstandard-Precondition*</t>
  </si>
  <si>
    <t>Cao et al.</t>
  </si>
  <si>
    <t>Naiel et al.</t>
  </si>
  <si>
    <t>Kırçıl et al.</t>
  </si>
  <si>
    <t>Max |Δ| vs paper (g), all rows</t>
  </si>
  <si>
    <t>ABOUT · SCOPE · LIMITS</t>
  </si>
  <si>
    <t>Paper</t>
  </si>
  <si>
    <t>Shafiq O, Wan Ahmad S, Khan G, Khattak Z, Ishaq F. Closed-form dimensionless median-capacity models for RC bare frame seismic fragility derivation. Structures 2026;94:113186. https://doi.org/10.1016/j.istruc.2026.113186</t>
  </si>
  <si>
    <t>Data / pipeline</t>
  </si>
  <si>
    <t>https://data.mendeley.com/datasets/hzhg95752g/5 · https://github.com/OmairShafique/EIDA/releases/tag/v1.0.1</t>
  </si>
  <si>
    <t>Training data</t>
  </si>
  <si>
    <t>176 randomised RC bare-frame archetypes in ETABS v21 (89 fixed-base, 87 SSI with Gazetas 6-DOF springs on stiff, medium and soft clay); IDA with 11 PEER NGA-West2 records, PGA scaled in 0.05 g steps until DS4 (~11k NLTHA).</t>
  </si>
  <si>
    <t>Building class</t>
  </si>
  <si>
    <t>Gravity-designed (1.2DL + 1.6LL, no seismic lateral force), non-seismically detailed bare RC moment frames, 1–10 storeys. A deliberate definition of the target class.</t>
  </si>
  <si>
    <t>Inputs (Table 3)</t>
  </si>
  <si>
    <t>T̄ = T√(g/H); SR = (bc·hc³ / bb·hb³)(B/H)³; λeff = (H/B)(1 − Iv), Iv = ρtop/(N + ρtop), ρtop = rooftop-addition area / typical floor area (0 for a flat roof). B = shortest base width, H = total height, N = total storeys.</t>
  </si>
  <si>
    <t>Applicability (Table 11)</t>
  </si>
  <si>
    <t>Bare RC moment frames only; no infill; 1–10 storeys; bay aspect ratio 1/3–3; fixed base or sampled stiff/medium/soft clay SSI; f'c 20–35 MPa; fy 280–550 MPa; T̄ 0.174–1.486; SR 0–13.05 (5th–95th percentile); PGA-based median capacity.</t>
  </si>
  <si>
    <t>Use by damage state</t>
  </si>
  <si>
    <t>DS1: transferable first-order estimator. DS2: internally reliable, no demonstrated study-level transferability. DS3–DS4: diagnostic only, not standalone predictors.</t>
  </si>
  <si>
    <t>Mandatory checks</t>
  </si>
  <si>
    <t>Clip or flag negative μ̂ (this workbook floors at 0.01 g, as Table A.17 does) and check μ̂DS1 ≤ μ̂DS2 ≤ μ̂DS3 ≤ μ̂DS4. Neither is enforced by the fitted polynomials.</t>
  </si>
  <si>
    <t>Dispersion β</t>
  </si>
  <si>
    <t>Not predicted. The 11-record suite is below the 20–40 records of typical ML fragility studies and FEMA P-58, so aleatory β is likely underestimated; use site-specific record selection for risk work.</t>
  </si>
  <si>
    <t>Intensity measure</t>
  </si>
  <si>
    <t>PGA. The reconstructed Sa(T1)/PGA capacity ratio falls from ~2.60× at short periods to ~1.23× at long periods, so PGA is not period-neutral.</t>
  </si>
  <si>
    <t>Foundation flexibility</t>
  </si>
  <si>
    <t>Adding the χf descriptor recovers R² gains of +0.178 (DS3) and +0.290 (DS4); it is kept diagnostic-only because practitioners rarely have the geotechnical inputs.</t>
  </si>
  <si>
    <t>Decision rule</t>
  </si>
  <si>
    <t>The Low / Moderate / High rule is this tool's screening convention and is not part of the paper.</t>
  </si>
  <si>
    <t>Contact</t>
  </si>
  <si>
    <t>Omair Shafiq · UMPSA · omair.shafiq1998@gmail.com · omairshafique.github.io/omairshafiq.github.io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</si>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</sst>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0.000"/>
    <numFmt numFmtId="166" formatCode="0.000&quot; g&quot;"/>
    <numFmt numFmtId="167" formatCode="0.0000"/>
    <numFmt numFmtId="168" formatCode="0.0000;\−0.0000;\·"/>
    <numFmt numFmtId="169" formatCode="0.0"/>
    <numFmt numFmtId="170" formatCode="\+0.000;\-0.000;0.000"/>
  </numFmts>
  <fonts count="3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i/>
      <sz val="8"/>
      <color rgb="FF7A7F96"/>
      <name val="Arial"/>
      <charset val="1"/>
    </font>
    <font>
      <b/>
      <sz val="9"/>
      <color rgb="FFFFFFFF"/>
      <name val="Arial"/>
      <charset val="1"/>
    </font>
    <font>
      <sz val="9"/>
      <color rgb="FF374151"/>
      <name val="Arial"/>
      <charset val="1"/>
    </font>
    <font>
      <sz val="9"/>
      <color rgb="FF0F1117"/>
      <name val="Arial"/>
      <charset val="1"/>
    </font>
    <font>
      <b/>
      <sz val="10"/>
      <color rgb="FF1E3A5F"/>
      <name val="Arial"/>
      <charset val="1"/>
    </font>
    <font>
      <b/>
      <sz val="8"/>
      <color rgb="FFFFFFFF"/>
      <name val="Arial"/>
      <charset val="1"/>
    </font>
    <font>
      <b/>
      <sz val="9"/>
      <color rgb="FF0F1117"/>
      <name val="Arial"/>
      <charset val="1"/>
    </font>
    <font>
      <sz val="8"/>
      <color rgb="FF7A7F96"/>
      <name val="Arial"/>
      <charset val="1"/>
    </font>
    <font>
      <b/>
      <sz val="11"/>
      <color rgb="FF0F1117"/>
      <name val="Arial"/>
      <charset val="1"/>
    </font>
    <font>
      <sz val="8"/>
      <color rgb="FF374151"/>
      <name val="Arial"/>
      <charset val="1"/>
    </font>
    <font>
      <b/>
      <sz val="9"/>
      <color rgb="FF374151"/>
      <name val="Arial"/>
      <charset val="1"/>
    </font>
    <font>
      <b/>
      <sz val="8"/>
      <color rgb="FF7A7F96"/>
      <name val="Arial"/>
      <charset val="1"/>
    </font>
    <font>
      <b/>
      <sz val="9"/>
      <color rgb="FF1E3A5F"/>
      <name val="Arial"/>
      <charset val="1"/>
    </font>
    <font>
      <sz val="10"/>
      <color rgb="FF0F1117"/>
      <name val="Arial"/>
      <charset val="1"/>
    </font>
    <font>
      <b/>
      <sz val="10"/>
      <color rgb="FF0F1117"/>
      <name val="Arial"/>
      <charset val="1"/>
    </font>
    <font>
      <sz val="10"/>
      <color rgb="FF7A7F96"/>
      <name val="Arial"/>
      <charset val="1"/>
    </font>
    <font>
      <b/>
      <sz val="12"/>
      <color rgb="FF0F1117"/>
      <name val="Arial"/>
      <charset val="1"/>
    </font>
    <font>
      <b/>
      <sz val="8"/>
      <color rgb="FF1E6B47"/>
      <name val="Arial"/>
      <charset val="1"/>
    </font>
    <font>
      <sz val="8"/>
      <color rgb="FF0F1117"/>
      <name val="Arial"/>
      <charset val="1"/>
    </font>
    <font>
      <b/>
      <sz val="8"/>
      <color rgb="FF1D4ED8"/>
      <name val="Arial"/>
      <charset val="1"/>
    </font>
    <font>
      <b/>
      <sz val="8"/>
      <color rgb="FFB91C1C"/>
      <name val="Arial"/>
      <charset val="1"/>
    </font>
    <font>
      <b/>
      <sz val="9"/>
      <color rgb="FF1E6B47"/>
      <name val="Arial"/>
      <charset val="1"/>
    </font>
    <font>
      <b/>
      <sz val="9"/>
      <color rgb="FFB35C00"/>
      <name val="Arial"/>
      <charset val="1"/>
    </font>
    <font>
      <b/>
      <sz val="9"/>
      <color rgb="FFB91C1C"/>
      <name val="Arial"/>
      <charset val="1"/>
    </font>
    <font>
      <b/>
      <sz val="9"/>
      <color rgb="FF7A7F96"/>
      <name val="Arial"/>
      <charset val="1"/>
    </font>
    <font>
      <b/>
      <sz val="11"/>
      <color rgb="FFFFFFFF"/>
      <name val="Arial"/>
      <charset val="1"/>
    </font>
    <font>
      <i/>
      <sz val="8"/>
      <color rgb="FF3A3F52"/>
      <name val="Arial"/>
      <charset val="1"/>
    </font>
    <font>
      <sz val="8"/>
      <color rgb="FF3A3F52"/>
      <name val="Arial"/>
      <charset val="1"/>
    </font>
    <font>
      <sz val="10"/>
      <name val="Arial"/>
      <family val="2"/>
    </font>
    <font>
      <i/>
      <sz val="9"/>
      <color rgb="FF3A3F52"/>
      <name val="Arial"/>
      <charset val="1"/>
    </font>
    <font>
      <b/>
      <sz val="10"/>
      <color rgb="FF1D4ED8"/>
      <name val="Arial"/>
      <charset val="1"/>
    </font>
    <font>
      <sz val="9"/>
      <color rgb="FF3A3F52"/>
      <name val="Arial"/>
      <charset val="1"/>
    </font>
    <font>
      <sz val="10"/>
      <color rgb="FFA0A4B3"/>
      <name val="Arial"/>
      <charset val="1"/>
    </font>
    <font>
      <sz val="9"/>
      <color rgb="FF1E3A5F"/>
      <name val="Arial"/>
      <charset val="1"/>
    </font>
    <font>
      <i/>
      <sz val="8"/>
      <color rgb="FFB35C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117"/>
        <bgColor rgb="FF000000"/>
      </patternFill>
    </fill>
    <fill>
      <patternFill patternType="solid">
        <fgColor rgb="FFC8442B"/>
        <bgColor rgb="FFB35C00"/>
      </patternFill>
    </fill>
    <fill>
      <patternFill patternType="solid">
        <fgColor rgb="FFF4F2EC"/>
        <bgColor rgb="FFEEF6F1"/>
      </patternFill>
    </fill>
    <fill>
      <patternFill patternType="solid">
        <fgColor rgb="FFFFFDE7"/>
        <bgColor rgb="FFFDF4E7"/>
      </patternFill>
    </fill>
    <fill>
      <patternFill patternType="solid">
        <fgColor rgb="FFF2F6FA"/>
        <bgColor rgb="FFEEF6F1"/>
      </patternFill>
    </fill>
    <fill>
      <patternFill patternType="solid">
        <fgColor rgb="FF3A3F52"/>
        <bgColor rgb="FF374151"/>
      </patternFill>
    </fill>
    <fill>
      <patternFill patternType="solid">
        <fgColor rgb="FFEEF6F1"/>
        <bgColor rgb="FFF2F6FA"/>
      </patternFill>
    </fill>
    <fill>
      <patternFill patternType="solid">
        <fgColor rgb="FFFDF4E7"/>
        <bgColor rgb="FFFEF2F2"/>
      </patternFill>
    </fill>
    <fill>
      <patternFill patternType="solid">
        <fgColor rgb="FFFEF2F2"/>
        <bgColor rgb="FFFDF4E7"/>
      </patternFill>
    </fill>
    <fill>
      <patternFill patternType="solid">
        <fgColor rgb="FF6B7280"/>
        <bgColor rgb="FF7A7F96"/>
      </patternFill>
    </fill>
    <fill>
      <patternFill patternType="solid">
        <fgColor rgb="FFFFFFFF"/>
        <bgColor rgb="FFFFFDE7"/>
      </patternFill>
    </fill>
  </fills>
  <borders count="4">
    <border>
      <left/>
      <right/>
      <top/>
      <bottom/>
      <diagonal/>
    </border>
    <border>
      <left style="thin">
        <color rgb="FFD9D6CC"/>
      </left>
      <right style="thin">
        <color rgb="FFD9D6CC"/>
      </right>
      <top style="thin">
        <color rgb="FFD9D6CC"/>
      </top>
      <bottom style="thin">
        <color rgb="FFD9D6CC"/>
      </bottom>
      <diagonal/>
    </border>
    <border>
      <left style="thin">
        <color rgb="FFD9D6CC"/>
      </left>
      <right/>
      <top style="thin">
        <color rgb="FFD9D6CC"/>
      </top>
      <bottom style="thin">
        <color rgb="FFD9D6CC"/>
      </bottom>
      <diagonal/>
    </border>
    <border>
      <left style="thin">
        <color rgb="FFD9D6CC"/>
      </left>
      <right/>
      <top style="thin">
        <color rgb="FFD9D6CC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6" fillId="10" borderId="2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4" fillId="4" borderId="2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7" fillId="5" borderId="2" xfId="0" applyFont="1" applyFill="1" applyBorder="1"/>
    <xf numFmtId="0" fontId="6" fillId="5" borderId="2" xfId="0" applyFont="1" applyFill="1" applyBorder="1"/>
    <xf numFmtId="0" fontId="4" fillId="2" borderId="0" xfId="0" applyFont="1" applyFill="1" applyAlignment="1">
      <alignment vertical="center" indent="1"/>
    </xf>
    <xf numFmtId="0" fontId="3" fillId="0" borderId="0" xfId="0" applyFont="1"/>
    <xf numFmtId="0" fontId="2" fillId="3" borderId="0" xfId="0" applyFont="1" applyFill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3" fillId="0" borderId="0" xfId="0" applyFont="1"/>
    <xf numFmtId="0" fontId="5" fillId="4" borderId="1" xfId="0" applyFont="1" applyFill="1" applyBorder="1"/>
    <xf numFmtId="164" fontId="5" fillId="6" borderId="1" xfId="0" applyNumberFormat="1" applyFont="1" applyFill="1" applyBorder="1"/>
    <xf numFmtId="0" fontId="8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/>
    <xf numFmtId="165" fontId="11" fillId="6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65" fontId="7" fillId="5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/>
    <xf numFmtId="165" fontId="16" fillId="6" borderId="1" xfId="0" applyNumberFormat="1" applyFont="1" applyFill="1" applyBorder="1" applyAlignment="1">
      <alignment horizontal="center" vertical="center" wrapText="1"/>
    </xf>
    <xf numFmtId="2" fontId="16" fillId="6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/>
    <xf numFmtId="165" fontId="18" fillId="6" borderId="1" xfId="0" applyNumberFormat="1" applyFont="1" applyFill="1" applyBorder="1" applyAlignment="1">
      <alignment horizontal="center" vertical="center" wrapText="1"/>
    </xf>
    <xf numFmtId="166" fontId="19" fillId="6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/>
    <xf numFmtId="167" fontId="21" fillId="6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8" fontId="33" fillId="12" borderId="1" xfId="0" applyNumberFormat="1" applyFont="1" applyFill="1" applyBorder="1" applyAlignment="1">
      <alignment horizontal="center" vertical="center" wrapText="1"/>
    </xf>
    <xf numFmtId="169" fontId="34" fillId="12" borderId="1" xfId="0" applyNumberFormat="1" applyFont="1" applyFill="1" applyBorder="1" applyAlignment="1">
      <alignment horizontal="center" vertical="center" wrapText="1"/>
    </xf>
    <xf numFmtId="168" fontId="35" fillId="12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165" fontId="24" fillId="12" borderId="1" xfId="0" applyNumberFormat="1" applyFont="1" applyFill="1" applyBorder="1" applyAlignment="1">
      <alignment horizontal="center" vertical="center" wrapText="1"/>
    </xf>
    <xf numFmtId="165" fontId="25" fillId="12" borderId="1" xfId="0" applyNumberFormat="1" applyFont="1" applyFill="1" applyBorder="1" applyAlignment="1">
      <alignment horizontal="center" vertical="center" wrapText="1"/>
    </xf>
    <xf numFmtId="165" fontId="26" fillId="1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5" fontId="5" fillId="0" borderId="0" xfId="0" applyNumberFormat="1" applyFont="1"/>
    <xf numFmtId="0" fontId="8" fillId="3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165" fontId="21" fillId="12" borderId="1" xfId="0" applyNumberFormat="1" applyFont="1" applyFill="1" applyBorder="1" applyAlignment="1">
      <alignment horizontal="center" vertical="center" wrapText="1"/>
    </xf>
    <xf numFmtId="165" fontId="22" fillId="6" borderId="1" xfId="0" applyNumberFormat="1" applyFont="1" applyFill="1" applyBorder="1" applyAlignment="1">
      <alignment horizontal="center" vertical="center" wrapText="1"/>
    </xf>
    <xf numFmtId="170" fontId="12" fillId="6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vertical="top" wrapText="1"/>
    </xf>
    <xf numFmtId="165" fontId="9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top" wrapText="1"/>
    </xf>
    <xf numFmtId="0" fontId="34" fillId="12" borderId="1" xfId="0" applyFont="1" applyFill="1" applyBorder="1" applyAlignment="1">
      <alignment vertical="top" wrapText="1"/>
    </xf>
    <xf numFmtId="0" fontId="27" fillId="4" borderId="2" xfId="0" applyFont="1" applyFill="1" applyBorder="1" applyAlignment="1">
      <alignment horizontal="center" vertical="center" wrapText="1"/>
    </xf>
    <xf numFmtId="0" fontId="28" fillId="11" borderId="3" xfId="0" applyFont="1" applyFill="1" applyBorder="1" applyAlignment="1">
      <alignment vertical="center" wrapText="1" indent="1"/>
    </xf>
    <xf numFmtId="0" fontId="29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10" fillId="0" borderId="0" xfId="0" applyFont="1"/>
    <xf numFmtId="0" fontId="1" fillId="2" borderId="0" xfId="0" applyFont="1" applyFill="1"/>
    <xf numFmtId="0" fontId="32" fillId="0" borderId="0" xfId="0" applyFont="1" applyAlignment="1">
      <alignment vertical="top" wrapText="1"/>
    </xf>
    <xf numFmtId="0" fontId="4" fillId="3" borderId="0" xfId="0" applyFont="1" applyFill="1" applyAlignment="1">
      <alignment vertical="center" indent="1"/>
    </xf>
    <xf numFmtId="0" fontId="34" fillId="0" borderId="0" xfId="0" applyFont="1" applyAlignment="1">
      <alignment vertical="top" wrapText="1"/>
    </xf>
    <xf numFmtId="0" fontId="28" fillId="2" borderId="0" xfId="0" applyFont="1" applyFill="1"/>
  </cellXfs>
  <cellStyles count="1">
    <cellStyle name="Normal" xfId="0" builtinId="0"/>
  </cellStyles>
  <dxfs count="19">
    <dxf>
      <font>
        <b/>
        <color rgb="FF6B7280"/>
        <name val="Arial"/>
        <charset val="1"/>
      </font>
      <fill>
        <patternFill>
          <bgColor rgb="FFF4F2EC"/>
        </patternFill>
      </fill>
    </dxf>
    <dxf>
      <font>
        <b/>
        <color rgb="FFB91C1C"/>
        <name val="Arial"/>
        <charset val="1"/>
      </font>
      <fill>
        <patternFill>
          <bgColor rgb="FFFEF2F2"/>
        </patternFill>
      </fill>
    </dxf>
    <dxf>
      <font>
        <b/>
        <color rgb="FFB35C00"/>
        <name val="Arial"/>
        <charset val="1"/>
      </font>
      <fill>
        <patternFill>
          <bgColor rgb="FFFDF4E7"/>
        </patternFill>
      </fill>
    </dxf>
    <dxf>
      <font>
        <b/>
        <color rgb="FF1E6B47"/>
        <name val="Arial"/>
        <charset val="1"/>
      </font>
      <fill>
        <patternFill>
          <bgColor rgb="FFEEF6F1"/>
        </patternFill>
      </fill>
    </dxf>
    <dxf>
      <font>
        <b/>
        <color rgb="FFB91C1C"/>
        <name val="Arial"/>
        <charset val="1"/>
      </font>
      <fill>
        <patternFill>
          <bgColor rgb="FFFEF2F2"/>
        </patternFill>
      </fill>
    </dxf>
    <dxf>
      <font>
        <b/>
        <color rgb="FFB35C00"/>
        <name val="Arial"/>
        <charset val="1"/>
      </font>
      <fill>
        <patternFill>
          <bgColor rgb="FFFDF4E7"/>
        </patternFill>
      </fill>
    </dxf>
    <dxf>
      <font>
        <b/>
        <color rgb="FF1E6B47"/>
        <name val="Arial"/>
        <charset val="1"/>
      </font>
    </dxf>
    <dxf>
      <font>
        <b/>
        <color rgb="FFB91C1C"/>
        <name val="Arial"/>
        <charset val="1"/>
      </font>
      <fill>
        <patternFill>
          <bgColor rgb="FFFEF2F2"/>
        </patternFill>
      </fill>
    </dxf>
    <dxf>
      <font>
        <b/>
        <color rgb="FFB91C1C"/>
        <name val="Arial"/>
        <charset val="1"/>
      </font>
      <fill>
        <patternFill>
          <bgColor rgb="FFFEF2F2"/>
        </patternFill>
      </fill>
    </dxf>
    <dxf>
      <font>
        <b/>
        <color rgb="FF1E6B47"/>
        <name val="Arial"/>
        <charset val="1"/>
      </font>
      <fill>
        <patternFill>
          <bgColor rgb="FFEEF6F1"/>
        </patternFill>
      </fill>
    </dxf>
    <dxf>
      <font>
        <b/>
        <color rgb="FFB91C1C"/>
        <name val="Arial"/>
        <charset val="1"/>
      </font>
      <fill>
        <patternFill>
          <bgColor rgb="FFFEF2F2"/>
        </patternFill>
      </fill>
    </dxf>
    <dxf>
      <font>
        <b/>
        <color rgb="FF1E6B47"/>
        <name val="Arial"/>
        <charset val="1"/>
      </font>
      <fill>
        <patternFill>
          <bgColor rgb="FFEEF6F1"/>
        </patternFill>
      </fill>
    </dxf>
    <dxf>
      <font>
        <b/>
        <color rgb="FFB35C00"/>
        <name val="Arial"/>
        <charset val="1"/>
      </font>
      <fill>
        <patternFill>
          <bgColor rgb="FFFDF4E7"/>
        </patternFill>
      </fill>
    </dxf>
    <dxf>
      <font>
        <b/>
        <color rgb="FF1E6B47"/>
        <name val="Arial"/>
        <charset val="1"/>
      </font>
      <fill>
        <patternFill>
          <bgColor rgb="FFEEF6F1"/>
        </patternFill>
      </fill>
    </dxf>
    <dxf>
      <font>
        <b/>
        <color rgb="FFB91C1C"/>
        <name val="Arial"/>
        <charset val="1"/>
      </font>
      <fill>
        <patternFill>
          <bgColor rgb="FFFEF2F2"/>
        </patternFill>
      </fill>
    </dxf>
    <dxf>
      <font>
        <b/>
        <color rgb="FF1E6B47"/>
        <name val="Arial"/>
        <charset val="1"/>
      </font>
    </dxf>
    <dxf>
      <font>
        <b/>
        <sz val="11"/>
        <color rgb="FFFFFFFF"/>
        <name val="Arial"/>
        <charset val="1"/>
      </font>
      <fill>
        <patternFill>
          <bgColor rgb="FFB91C1C"/>
        </patternFill>
      </fill>
    </dxf>
    <dxf>
      <font>
        <b/>
        <sz val="11"/>
        <color rgb="FFFFFFFF"/>
        <name val="Arial"/>
        <charset val="1"/>
      </font>
      <fill>
        <patternFill>
          <bgColor rgb="FFB35C00"/>
        </patternFill>
      </fill>
    </dxf>
    <dxf>
      <font>
        <b/>
        <sz val="11"/>
        <color rgb="FFFFFFFF"/>
        <name val="Arial"/>
        <charset val="1"/>
      </font>
      <fill>
        <patternFill>
          <bgColor rgb="FF1E6B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5C00"/>
      <rgbColor rgb="FF800080"/>
      <rgbColor rgb="FF1E6B47"/>
      <rgbColor rgb="FFD9D6CC"/>
      <rgbColor rgb="FF878787"/>
      <rgbColor rgb="FF7A7F96"/>
      <rgbColor rgb="FFC8442B"/>
      <rgbColor rgb="FFFFFDE7"/>
      <rgbColor rgb="FFEEF6F1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F4F2EC"/>
      <rgbColor rgb="FFFDF4E7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F9900"/>
      <rgbColor rgb="FFD97706"/>
      <rgbColor rgb="FF6B7280"/>
      <rgbColor rgb="FFA0A4B3"/>
      <rgbColor rgb="FF1E3A5F"/>
      <rgbColor rgb="FF0E9F6E"/>
      <rgbColor rgb="FF0F1117"/>
      <rgbColor rgb="FF475569"/>
      <rgbColor rgb="FFB91C1C"/>
      <rgbColor rgb="FF993366"/>
      <rgbColor rgb="FF374151"/>
      <rgbColor rgb="FF3A3F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Fragility curves · DS1–DS2 solid, DS3–DS4 diagnostic (dashed)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'Fragility Data'!$B$1</c:f>
              <c:strCache>
                <c:ptCount val="1"/>
                <c:pt idx="0">
                  <c:v>DS1 Slight</c:v>
                </c:pt>
              </c:strCache>
            </c:strRef>
          </c:tx>
          <c:spPr>
            <a:ln w="28080">
              <a:solidFill>
                <a:srgbClr val="1D4E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'Fragility Data'!$A$2:$A$201</c:f>
              <c:numCache>
                <c:formatCode>General</c:formatCode>
                <c:ptCount val="20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</c:numCache>
            </c:numRef>
          </c:xVal>
          <c:yVal>
            <c:numRef>
              <c:f>'Fragility Data'!$B$2:$B$201</c:f>
              <c:numCache>
                <c:formatCode>0.000</c:formatCode>
                <c:ptCount val="200"/>
                <c:pt idx="0">
                  <c:v>4.4399103376362429E-19</c:v>
                </c:pt>
                <c:pt idx="1">
                  <c:v>5.2423848192765052E-10</c:v>
                </c:pt>
                <c:pt idx="2">
                  <c:v>7.0076827292192858E-7</c:v>
                </c:pt>
                <c:pt idx="3">
                  <c:v>3.3938768596932944E-5</c:v>
                </c:pt>
                <c:pt idx="4">
                  <c:v>3.9636705229280394E-4</c:v>
                </c:pt>
                <c:pt idx="5">
                  <c:v>2.1610561276947712E-3</c:v>
                </c:pt>
                <c:pt idx="6">
                  <c:v>7.4251901727059606E-3</c:v>
                </c:pt>
                <c:pt idx="7">
                  <c:v>1.8842925570949728E-2</c:v>
                </c:pt>
                <c:pt idx="8">
                  <c:v>3.875269531254142E-2</c:v>
                </c:pt>
                <c:pt idx="9">
                  <c:v>6.8469994410026921E-2</c:v>
                </c:pt>
                <c:pt idx="10">
                  <c:v>0.10802967413536903</c:v>
                </c:pt>
                <c:pt idx="11">
                  <c:v>0.15633263788289162</c:v>
                </c:pt>
                <c:pt idx="12">
                  <c:v>0.2115104706945776</c:v>
                </c:pt>
                <c:pt idx="13">
                  <c:v>0.27133227289936523</c:v>
                </c:pt>
                <c:pt idx="14">
                  <c:v>0.33354645566422303</c:v>
                </c:pt>
                <c:pt idx="15">
                  <c:v>0.39611621618808546</c:v>
                </c:pt>
                <c:pt idx="16">
                  <c:v>0.45735010365930984</c:v>
                </c:pt>
                <c:pt idx="17">
                  <c:v>0.51594919187456934</c:v>
                </c:pt>
                <c:pt idx="18">
                  <c:v>0.57099737679895068</c:v>
                </c:pt>
                <c:pt idx="19">
                  <c:v>0.62191848288004592</c:v>
                </c:pt>
                <c:pt idx="20">
                  <c:v>0.66841814196187044</c:v>
                </c:pt>
                <c:pt idx="21">
                  <c:v>0.71042252123693006</c:v>
                </c:pt>
                <c:pt idx="22">
                  <c:v>0.74802110029986923</c:v>
                </c:pt>
                <c:pt idx="23">
                  <c:v>0.78141713432857263</c:v>
                </c:pt>
                <c:pt idx="24">
                  <c:v>0.8108870773380128</c:v>
                </c:pt>
                <c:pt idx="25">
                  <c:v>0.83674881582530058</c:v>
                </c:pt>
                <c:pt idx="26">
                  <c:v>0.85933780617009248</c:v>
                </c:pt>
                <c:pt idx="27">
                  <c:v>0.87898988930631849</c:v>
                </c:pt>
                <c:pt idx="28">
                  <c:v>0.89602950117074409</c:v>
                </c:pt>
                <c:pt idx="29">
                  <c:v>0.91076208776692202</c:v>
                </c:pt>
                <c:pt idx="30">
                  <c:v>0.92346969174110605</c:v>
                </c:pt>
                <c:pt idx="31">
                  <c:v>0.93440885595578127</c:v>
                </c:pt>
                <c:pt idx="32">
                  <c:v>0.94381016220350045</c:v>
                </c:pt>
                <c:pt idx="33">
                  <c:v>0.95187887683148709</c:v>
                </c:pt>
                <c:pt idx="34">
                  <c:v>0.95879630469545718</c:v>
                </c:pt>
                <c:pt idx="35">
                  <c:v>0.9647215582191031</c:v>
                </c:pt>
                <c:pt idx="36">
                  <c:v>0.96979353148615488</c:v>
                </c:pt>
                <c:pt idx="37">
                  <c:v>0.97413293333760165</c:v>
                </c:pt>
                <c:pt idx="38">
                  <c:v>0.97784428171917293</c:v>
                </c:pt>
                <c:pt idx="39">
                  <c:v>0.98101779716385651</c:v>
                </c:pt>
                <c:pt idx="40">
                  <c:v>0.98373115905649844</c:v>
                </c:pt>
                <c:pt idx="41">
                  <c:v>0.98605110652159267</c:v>
                </c:pt>
                <c:pt idx="42">
                  <c:v>0.98803487827445058</c:v>
                </c:pt>
                <c:pt idx="43">
                  <c:v>0.98973149406255778</c:v>
                </c:pt>
                <c:pt idx="44">
                  <c:v>0.99118288554814005</c:v>
                </c:pt>
                <c:pt idx="45">
                  <c:v>0.99242488752194524</c:v>
                </c:pt>
                <c:pt idx="46">
                  <c:v>0.99348810185090608</c:v>
                </c:pt>
                <c:pt idx="47">
                  <c:v>0.99439864703652048</c:v>
                </c:pt>
                <c:pt idx="48">
                  <c:v>0.9951788060525053</c:v>
                </c:pt>
                <c:pt idx="49">
                  <c:v>0.99584758449541377</c:v>
                </c:pt>
                <c:pt idx="50">
                  <c:v>0.99642119020122821</c:v>
                </c:pt>
                <c:pt idx="51">
                  <c:v>0.99691344447960462</c:v>
                </c:pt>
                <c:pt idx="52">
                  <c:v>0.99733613407986998</c:v>
                </c:pt>
                <c:pt idx="53">
                  <c:v>0.99769931198409967</c:v>
                </c:pt>
                <c:pt idx="54">
                  <c:v>0.99801155415668785</c:v>
                </c:pt>
                <c:pt idx="55">
                  <c:v>0.99828017848617223</c:v>
                </c:pt>
                <c:pt idx="56">
                  <c:v>0.99851143134298048</c:v>
                </c:pt>
                <c:pt idx="57">
                  <c:v>0.99871064644877727</c:v>
                </c:pt>
                <c:pt idx="58">
                  <c:v>0.99888238010739971</c:v>
                </c:pt>
                <c:pt idx="59">
                  <c:v>0.99903052627946809</c:v>
                </c:pt>
                <c:pt idx="60">
                  <c:v>0.99915841448667653</c:v>
                </c:pt>
                <c:pt idx="61">
                  <c:v>0.99926889310079736</c:v>
                </c:pt>
                <c:pt idx="62">
                  <c:v>0.99936440019974271</c:v>
                </c:pt>
                <c:pt idx="63">
                  <c:v>0.99944702385193085</c:v>
                </c:pt>
                <c:pt idx="64">
                  <c:v>0.9995185534144323</c:v>
                </c:pt>
                <c:pt idx="65">
                  <c:v>0.9995805231941306</c:v>
                </c:pt>
                <c:pt idx="66">
                  <c:v>0.99963424961919134</c:v>
                </c:pt>
                <c:pt idx="67">
                  <c:v>0.99968086289582636</c:v>
                </c:pt>
                <c:pt idx="68">
                  <c:v>0.99972133397852581</c:v>
                </c:pt>
                <c:pt idx="69">
                  <c:v>0.99975649755699447</c:v>
                </c:pt>
                <c:pt idx="70">
                  <c:v>0.99978707165681358</c:v>
                </c:pt>
                <c:pt idx="71">
                  <c:v>0.99981367436061863</c:v>
                </c:pt>
                <c:pt idx="72">
                  <c:v>0.9998368380799797</c:v>
                </c:pt>
                <c:pt idx="73">
                  <c:v>0.99985702174316937</c:v>
                </c:pt>
                <c:pt idx="74">
                  <c:v>0.99987462120885817</c:v>
                </c:pt>
                <c:pt idx="75">
                  <c:v>0.99988997816901382</c:v>
                </c:pt>
                <c:pt idx="76">
                  <c:v>0.99990338776462062</c:v>
                </c:pt>
                <c:pt idx="77">
                  <c:v>0.99991510510420845</c:v>
                </c:pt>
                <c:pt idx="78">
                  <c:v>0.99992535084666145</c:v>
                </c:pt>
                <c:pt idx="79">
                  <c:v>0.9999343159855929</c:v>
                </c:pt>
                <c:pt idx="80">
                  <c:v>0.99994216595205665</c:v>
                </c:pt>
                <c:pt idx="81">
                  <c:v>0.99994904413495778</c:v>
                </c:pt>
                <c:pt idx="82">
                  <c:v>0.99995507490375768</c:v>
                </c:pt>
                <c:pt idx="83">
                  <c:v>0.99996036620552098</c:v>
                </c:pt>
                <c:pt idx="84">
                  <c:v>0.99996501179770958</c:v>
                </c:pt>
                <c:pt idx="85">
                  <c:v>0.99996909316907379</c:v>
                </c:pt>
                <c:pt idx="86">
                  <c:v>0.9999726811933054</c:v>
                </c:pt>
                <c:pt idx="87">
                  <c:v>0.99997583755357466</c:v>
                </c:pt>
                <c:pt idx="88">
                  <c:v>0.99997861597051252</c:v>
                </c:pt>
                <c:pt idx="89">
                  <c:v>0.99998106326146263</c:v>
                </c:pt>
                <c:pt idx="90">
                  <c:v>0.99998322025479658</c:v>
                </c:pt>
                <c:pt idx="91">
                  <c:v>0.99998512257964933</c:v>
                </c:pt>
                <c:pt idx="92">
                  <c:v>0.99998680134850382</c:v>
                </c:pt>
                <c:pt idx="93">
                  <c:v>0.99998828374755511</c:v>
                </c:pt>
                <c:pt idx="94">
                  <c:v>0.99998959354765071</c:v>
                </c:pt>
                <c:pt idx="95">
                  <c:v>0.99999075154678685</c:v>
                </c:pt>
                <c:pt idx="96">
                  <c:v>0.99999177595358069</c:v>
                </c:pt>
                <c:pt idx="97">
                  <c:v>0.99999268271980934</c:v>
                </c:pt>
                <c:pt idx="98">
                  <c:v>0.99999348582897152</c:v>
                </c:pt>
                <c:pt idx="99">
                  <c:v>0.99999419754684871</c:v>
                </c:pt>
                <c:pt idx="100">
                  <c:v>0.99999482863921241</c:v>
                </c:pt>
                <c:pt idx="101">
                  <c:v>0.9999953885611077</c:v>
                </c:pt>
                <c:pt idx="102">
                  <c:v>0.99999588562152841</c:v>
                </c:pt>
                <c:pt idx="103">
                  <c:v>0.99999632712677622</c:v>
                </c:pt>
                <c:pt idx="104">
                  <c:v>0.99999671950534141</c:v>
                </c:pt>
                <c:pt idx="105">
                  <c:v>0.9999970684167554</c:v>
                </c:pt>
                <c:pt idx="106">
                  <c:v>0.99999737884653273</c:v>
                </c:pt>
                <c:pt idx="107">
                  <c:v>0.99999765518903128</c:v>
                </c:pt>
                <c:pt idx="108">
                  <c:v>0.99999790131981237</c:v>
                </c:pt>
                <c:pt idx="109">
                  <c:v>0.99999812065887139</c:v>
                </c:pt>
                <c:pt idx="110">
                  <c:v>0.99999831622592394</c:v>
                </c:pt>
                <c:pt idx="111">
                  <c:v>0.999998490688775</c:v>
                </c:pt>
                <c:pt idx="112">
                  <c:v>0.99999864640566205</c:v>
                </c:pt>
                <c:pt idx="113">
                  <c:v>0.99999878546234489</c:v>
                </c:pt>
                <c:pt idx="114">
                  <c:v>0.99999890970461447</c:v>
                </c:pt>
                <c:pt idx="115">
                  <c:v>0.99999902076680081</c:v>
                </c:pt>
                <c:pt idx="116">
                  <c:v>0.99999912009678993</c:v>
                </c:pt>
                <c:pt idx="117">
                  <c:v>0.999999208977988</c:v>
                </c:pt>
                <c:pt idx="118">
                  <c:v>0.99999928854861686</c:v>
                </c:pt>
                <c:pt idx="119">
                  <c:v>0.99999935981867594</c:v>
                </c:pt>
                <c:pt idx="120">
                  <c:v>0.99999942368485928</c:v>
                </c:pt>
                <c:pt idx="121">
                  <c:v>0.99999948094368318</c:v>
                </c:pt>
                <c:pt idx="122">
                  <c:v>0.99999953230304517</c:v>
                </c:pt>
                <c:pt idx="123">
                  <c:v>0.99999957839240727</c:v>
                </c:pt>
                <c:pt idx="124">
                  <c:v>0.99999961977177176</c:v>
                </c:pt>
                <c:pt idx="125">
                  <c:v>0.99999965693959803</c:v>
                </c:pt>
                <c:pt idx="126">
                  <c:v>0.99999969033978797</c:v>
                </c:pt>
                <c:pt idx="127">
                  <c:v>0.99999972036785445</c:v>
                </c:pt>
                <c:pt idx="128">
                  <c:v>0.99999974737636921</c:v>
                </c:pt>
                <c:pt idx="129">
                  <c:v>0.99999977167977849</c:v>
                </c:pt>
                <c:pt idx="130">
                  <c:v>0.99999979355866198</c:v>
                </c:pt>
                <c:pt idx="131">
                  <c:v>0.99999981326349996</c:v>
                </c:pt>
                <c:pt idx="132">
                  <c:v>0.99999983101800904</c:v>
                </c:pt>
                <c:pt idx="133">
                  <c:v>0.99999984702209577</c:v>
                </c:pt>
                <c:pt idx="134">
                  <c:v>0.99999986145447473</c:v>
                </c:pt>
                <c:pt idx="135">
                  <c:v>0.99999987447498884</c:v>
                </c:pt>
                <c:pt idx="136">
                  <c:v>0.99999988622666791</c:v>
                </c:pt>
                <c:pt idx="137">
                  <c:v>0.99999989683755575</c:v>
                </c:pt>
                <c:pt idx="138">
                  <c:v>0.99999990642233172</c:v>
                </c:pt>
                <c:pt idx="139">
                  <c:v>0.9999999150837523</c:v>
                </c:pt>
                <c:pt idx="140">
                  <c:v>0.99999992291393081</c:v>
                </c:pt>
                <c:pt idx="141">
                  <c:v>0.99999992999547682</c:v>
                </c:pt>
                <c:pt idx="142">
                  <c:v>0.99999993640250906</c:v>
                </c:pt>
                <c:pt idx="143">
                  <c:v>0.9999999422015563</c:v>
                </c:pt>
                <c:pt idx="144">
                  <c:v>0.99999994745236109</c:v>
                </c:pt>
                <c:pt idx="145">
                  <c:v>0.99999995220859439</c:v>
                </c:pt>
                <c:pt idx="146">
                  <c:v>0.99999995651849283</c:v>
                </c:pt>
                <c:pt idx="147">
                  <c:v>0.99999996042542749</c:v>
                </c:pt>
                <c:pt idx="148">
                  <c:v>0.99999996396841095</c:v>
                </c:pt>
                <c:pt idx="149">
                  <c:v>0.99999996718254935</c:v>
                </c:pt>
                <c:pt idx="150">
                  <c:v>0.99999997009944663</c:v>
                </c:pt>
                <c:pt idx="151">
                  <c:v>0.99999997274756569</c:v>
                </c:pt>
                <c:pt idx="152">
                  <c:v>0.99999997515255046</c:v>
                </c:pt>
                <c:pt idx="153">
                  <c:v>0.99999997733751478</c:v>
                </c:pt>
                <c:pt idx="154">
                  <c:v>0.99999997932329987</c:v>
                </c:pt>
                <c:pt idx="155">
                  <c:v>0.99999998112870536</c:v>
                </c:pt>
                <c:pt idx="156">
                  <c:v>0.99999998277069579</c:v>
                </c:pt>
                <c:pt idx="157">
                  <c:v>0.9999999842645857</c:v>
                </c:pt>
                <c:pt idx="158">
                  <c:v>0.99999998562420545</c:v>
                </c:pt>
                <c:pt idx="159">
                  <c:v>0.99999998686204961</c:v>
                </c:pt>
                <c:pt idx="160">
                  <c:v>0.99999998798941059</c:v>
                </c:pt>
                <c:pt idx="161">
                  <c:v>0.99999998901649767</c:v>
                </c:pt>
                <c:pt idx="162">
                  <c:v>0.99999998995254469</c:v>
                </c:pt>
                <c:pt idx="163">
                  <c:v>0.99999999080590618</c:v>
                </c:pt>
                <c:pt idx="164">
                  <c:v>0.99999999158414377</c:v>
                </c:pt>
                <c:pt idx="165">
                  <c:v>0.99999999229410408</c:v>
                </c:pt>
                <c:pt idx="166">
                  <c:v>0.99999999294198838</c:v>
                </c:pt>
                <c:pt idx="167">
                  <c:v>0.99999999353341562</c:v>
                </c:pt>
                <c:pt idx="168">
                  <c:v>0.99999999407347884</c:v>
                </c:pt>
                <c:pt idx="169">
                  <c:v>0.99999999456679578</c:v>
                </c:pt>
                <c:pt idx="170">
                  <c:v>0.99999999501755521</c:v>
                </c:pt>
                <c:pt idx="171">
                  <c:v>0.99999999542955764</c:v>
                </c:pt>
                <c:pt idx="172">
                  <c:v>0.99999999580625254</c:v>
                </c:pt>
                <c:pt idx="173">
                  <c:v>0.99999999615077206</c:v>
                </c:pt>
                <c:pt idx="174">
                  <c:v>0.99999999646596105</c:v>
                </c:pt>
                <c:pt idx="175">
                  <c:v>0.99999999675440421</c:v>
                </c:pt>
                <c:pt idx="176">
                  <c:v>0.99999999701845077</c:v>
                </c:pt>
                <c:pt idx="177">
                  <c:v>0.99999999726023658</c:v>
                </c:pt>
                <c:pt idx="178">
                  <c:v>0.99999999748170421</c:v>
                </c:pt>
                <c:pt idx="179">
                  <c:v>0.999999997684621</c:v>
                </c:pt>
                <c:pt idx="180">
                  <c:v>0.99999999787059524</c:v>
                </c:pt>
                <c:pt idx="181">
                  <c:v>0.99999999804109108</c:v>
                </c:pt>
                <c:pt idx="182">
                  <c:v>0.99999999819744179</c:v>
                </c:pt>
                <c:pt idx="183">
                  <c:v>0.99999999834086217</c:v>
                </c:pt>
                <c:pt idx="184">
                  <c:v>0.99999999847245891</c:v>
                </c:pt>
                <c:pt idx="185">
                  <c:v>0.99999999859324074</c:v>
                </c:pt>
                <c:pt idx="186">
                  <c:v>0.99999999870412759</c:v>
                </c:pt>
                <c:pt idx="187">
                  <c:v>0.99999999880595847</c:v>
                </c:pt>
                <c:pt idx="188">
                  <c:v>0.99999999889949875</c:v>
                </c:pt>
                <c:pt idx="189">
                  <c:v>0.999999998985447</c:v>
                </c:pt>
                <c:pt idx="190">
                  <c:v>0.99999999906444081</c:v>
                </c:pt>
                <c:pt idx="191">
                  <c:v>0.99999999913706272</c:v>
                </c:pt>
                <c:pt idx="192">
                  <c:v>0.99999999920384441</c:v>
                </c:pt>
                <c:pt idx="193">
                  <c:v>0.99999999926527194</c:v>
                </c:pt>
                <c:pt idx="194">
                  <c:v>0.99999999932178962</c:v>
                </c:pt>
                <c:pt idx="195">
                  <c:v>0.99999999937380357</c:v>
                </c:pt>
                <c:pt idx="196">
                  <c:v>0.99999999942168505</c:v>
                </c:pt>
                <c:pt idx="197">
                  <c:v>0.99999999946577389</c:v>
                </c:pt>
                <c:pt idx="198">
                  <c:v>0.99999999950638097</c:v>
                </c:pt>
                <c:pt idx="199">
                  <c:v>0.99999999954379071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CD-46B5-9335-1F5E2C7461F1}"/>
            </c:ext>
          </c:extLst>
        </c:ser>
        <c:ser>
          <c:idx val="1"/>
          <c:order val="1"/>
          <c:tx>
            <c:strRef>
              <c:f>'Fragility Data'!$C$1</c:f>
              <c:strCache>
                <c:ptCount val="1"/>
                <c:pt idx="0">
                  <c:v>DS2 Moderate</c:v>
                </c:pt>
              </c:strCache>
            </c:strRef>
          </c:tx>
          <c:spPr>
            <a:ln w="28080">
              <a:solidFill>
                <a:srgbClr val="0E9F6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'Fragility Data'!$A$2:$A$201</c:f>
              <c:numCache>
                <c:formatCode>General</c:formatCode>
                <c:ptCount val="20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</c:numCache>
            </c:numRef>
          </c:xVal>
          <c:yVal>
            <c:numRef>
              <c:f>'Fragility Data'!$C$2:$C$201</c:f>
              <c:numCache>
                <c:formatCode>0.000</c:formatCode>
                <c:ptCount val="200"/>
                <c:pt idx="0">
                  <c:v>5.0907329636873773E-27</c:v>
                </c:pt>
                <c:pt idx="1">
                  <c:v>9.0704179016636023E-16</c:v>
                </c:pt>
                <c:pt idx="2">
                  <c:v>1.22464856666692E-11</c:v>
                </c:pt>
                <c:pt idx="3">
                  <c:v>2.6864418036713876E-9</c:v>
                </c:pt>
                <c:pt idx="4">
                  <c:v>9.6007968077317669E-8</c:v>
                </c:pt>
                <c:pt idx="5">
                  <c:v>1.2679079476420835E-6</c:v>
                </c:pt>
                <c:pt idx="6">
                  <c:v>9.0309646100984385E-6</c:v>
                </c:pt>
                <c:pt idx="7">
                  <c:v>4.2500968111727316E-5</c:v>
                </c:pt>
                <c:pt idx="8">
                  <c:v>1.4905694544757074E-4</c:v>
                </c:pt>
                <c:pt idx="9">
                  <c:v>4.2060054471744431E-4</c:v>
                </c:pt>
                <c:pt idx="10">
                  <c:v>1.0053044949838975E-3</c:v>
                </c:pt>
                <c:pt idx="11">
                  <c:v>2.109995335360027E-3</c:v>
                </c:pt>
                <c:pt idx="12">
                  <c:v>3.9916265656996614E-3</c:v>
                </c:pt>
                <c:pt idx="13">
                  <c:v>6.9396020538466932E-3</c:v>
                </c:pt>
                <c:pt idx="14">
                  <c:v>1.1252724024604952E-2</c:v>
                </c:pt>
                <c:pt idx="15">
                  <c:v>1.721502409007427E-2</c:v>
                </c:pt>
                <c:pt idx="16">
                  <c:v>2.5074086853903638E-2</c:v>
                </c:pt>
                <c:pt idx="17">
                  <c:v>3.5024269618743949E-2</c:v>
                </c:pt>
                <c:pt idx="18">
                  <c:v>4.719593758638909E-2</c:v>
                </c:pt>
                <c:pt idx="19">
                  <c:v>6.1650761888985738E-2</c:v>
                </c:pt>
                <c:pt idx="20">
                  <c:v>7.8382385488653589E-2</c:v>
                </c:pt>
                <c:pt idx="21">
                  <c:v>9.7321350150342753E-2</c:v>
                </c:pt>
                <c:pt idx="22">
                  <c:v>0.11834303601407235</c:v>
                </c:pt>
                <c:pt idx="23">
                  <c:v>0.1412774133655309</c:v>
                </c:pt>
                <c:pt idx="24">
                  <c:v>0.16591956772862421</c:v>
                </c:pt>
                <c:pt idx="25">
                  <c:v>0.19204017329546139</c:v>
                </c:pt>
                <c:pt idx="26">
                  <c:v>0.21939531285575786</c:v>
                </c:pt>
                <c:pt idx="27">
                  <c:v>0.24773524795708496</c:v>
                </c:pt>
                <c:pt idx="28">
                  <c:v>0.27681191697816376</c:v>
                </c:pt>
                <c:pt idx="29">
                  <c:v>0.30638507612179688</c:v>
                </c:pt>
                <c:pt idx="30">
                  <c:v>0.33622709978484511</c:v>
                </c:pt>
                <c:pt idx="31">
                  <c:v>0.3661265263238937</c:v>
                </c:pt>
                <c:pt idx="32">
                  <c:v>0.39589047833739793</c:v>
                </c:pt>
                <c:pt idx="33">
                  <c:v>0.42534610894902369</c:v>
                </c:pt>
                <c:pt idx="34">
                  <c:v>0.45434123253630554</c:v>
                </c:pt>
                <c:pt idx="35">
                  <c:v>0.48274429450991846</c:v>
                </c:pt>
                <c:pt idx="36">
                  <c:v>0.5104438238711152</c:v>
                </c:pt>
                <c:pt idx="37">
                  <c:v>0.53734749728446052</c:v>
                </c:pt>
                <c:pt idx="38">
                  <c:v>0.56338092647857296</c:v>
                </c:pt>
                <c:pt idx="39">
                  <c:v>0.58848626347718502</c:v>
                </c:pt>
                <c:pt idx="40">
                  <c:v>0.61262070150664638</c:v>
                </c:pt>
                <c:pt idx="41">
                  <c:v>0.63575493407143358</c:v>
                </c:pt>
                <c:pt idx="42">
                  <c:v>0.65787162099093643</c:v>
                </c:pt>
                <c:pt idx="43">
                  <c:v>0.67896389829357462</c:v>
                </c:pt>
                <c:pt idx="44">
                  <c:v>0.69903395876907148</c:v>
                </c:pt>
                <c:pt idx="45">
                  <c:v>0.7180917215942717</c:v>
                </c:pt>
                <c:pt idx="46">
                  <c:v>0.73615360262478902</c:v>
                </c:pt>
                <c:pt idx="47">
                  <c:v>0.75324139150857095</c:v>
                </c:pt>
                <c:pt idx="48">
                  <c:v>0.76938123754375176</c:v>
                </c:pt>
                <c:pt idx="49">
                  <c:v>0.78460274299117982</c:v>
                </c:pt>
                <c:pt idx="50">
                  <c:v>0.79893816019242436</c:v>
                </c:pt>
                <c:pt idx="51">
                  <c:v>0.81242168718358398</c:v>
                </c:pt>
                <c:pt idx="52">
                  <c:v>0.82508885539836319</c:v>
                </c:pt>
                <c:pt idx="53">
                  <c:v>0.83697600240355086</c:v>
                </c:pt>
                <c:pt idx="54">
                  <c:v>0.84811982230671457</c:v>
                </c:pt>
                <c:pt idx="55">
                  <c:v>0.85855698643639011</c:v>
                </c:pt>
                <c:pt idx="56">
                  <c:v>0.86832382705074129</c:v>
                </c:pt>
                <c:pt idx="57">
                  <c:v>0.8774560771258737</c:v>
                </c:pt>
                <c:pt idx="58">
                  <c:v>0.88598865966511431</c:v>
                </c:pt>
                <c:pt idx="59">
                  <c:v>0.89395552042041637</c:v>
                </c:pt>
                <c:pt idx="60">
                  <c:v>0.90138949839931315</c:v>
                </c:pt>
                <c:pt idx="61">
                  <c:v>0.90832222902474746</c:v>
                </c:pt>
                <c:pt idx="62">
                  <c:v>0.91478407530516492</c:v>
                </c:pt>
                <c:pt idx="63">
                  <c:v>0.92080408284731252</c:v>
                </c:pt>
                <c:pt idx="64">
                  <c:v>0.92640995499646905</c:v>
                </c:pt>
                <c:pt idx="65">
                  <c:v>0.93162804481327977</c:v>
                </c:pt>
                <c:pt idx="66">
                  <c:v>0.93648336098999674</c:v>
                </c:pt>
                <c:pt idx="67">
                  <c:v>0.9409995851703411</c:v>
                </c:pt>
                <c:pt idx="68">
                  <c:v>0.94519909846618844</c:v>
                </c:pt>
                <c:pt idx="69">
                  <c:v>0.94910301526151075</c:v>
                </c:pt>
                <c:pt idx="70">
                  <c:v>0.95273122266072607</c:v>
                </c:pt>
                <c:pt idx="71">
                  <c:v>0.95610242417651992</c:v>
                </c:pt>
                <c:pt idx="72">
                  <c:v>0.95923418646320346</c:v>
                </c:pt>
                <c:pt idx="73">
                  <c:v>0.96214298808785725</c:v>
                </c:pt>
                <c:pt idx="74">
                  <c:v>0.96484426949496138</c:v>
                </c:pt>
                <c:pt idx="75">
                  <c:v>0.96735248346304015</c:v>
                </c:pt>
                <c:pt idx="76">
                  <c:v>0.96968114547605833</c:v>
                </c:pt>
                <c:pt idx="77">
                  <c:v>0.97184288353983794</c:v>
                </c:pt>
                <c:pt idx="78">
                  <c:v>0.97384948706641239</c:v>
                </c:pt>
                <c:pt idx="79">
                  <c:v>0.97571195452868309</c:v>
                </c:pt>
                <c:pt idx="80">
                  <c:v>0.97744053965553479</c:v>
                </c:pt>
                <c:pt idx="81">
                  <c:v>0.97904479599509142</c:v>
                </c:pt>
                <c:pt idx="82">
                  <c:v>0.9805336197223532</c:v>
                </c:pt>
                <c:pt idx="83">
                  <c:v>0.98191529060816374</c:v>
                </c:pt>
                <c:pt idx="84">
                  <c:v>0.98319751110036435</c:v>
                </c:pt>
                <c:pt idx="85">
                  <c:v>0.98438744349600171</c:v>
                </c:pt>
                <c:pt idx="86">
                  <c:v>0.98549174520638116</c:v>
                </c:pt>
                <c:pt idx="87">
                  <c:v>0.98651660213531689</c:v>
                </c:pt>
                <c:pt idx="88">
                  <c:v>0.98746776020575389</c:v>
                </c:pt>
                <c:pt idx="89">
                  <c:v>0.9883505550815801</c:v>
                </c:pt>
                <c:pt idx="90">
                  <c:v>0.98916994014038528</c:v>
                </c:pt>
                <c:pt idx="91">
                  <c:v>0.98993051275959576</c:v>
                </c:pt>
                <c:pt idx="92">
                  <c:v>0.99063653898316451</c:v>
                </c:pt>
                <c:pt idx="93">
                  <c:v>0.99129197663916113</c:v>
                </c:pt>
                <c:pt idx="94">
                  <c:v>0.99190049698044613</c:v>
                </c:pt>
                <c:pt idx="95">
                  <c:v>0.99246550492136887</c:v>
                </c:pt>
                <c:pt idx="96">
                  <c:v>0.99299015794330392</c:v>
                </c:pt>
                <c:pt idx="97">
                  <c:v>0.99347738374099603</c:v>
                </c:pt>
                <c:pt idx="98">
                  <c:v>0.99392989668028286</c:v>
                </c:pt>
                <c:pt idx="99">
                  <c:v>0.99435021313591532</c:v>
                </c:pt>
                <c:pt idx="100">
                  <c:v>0.9947406657760135</c:v>
                </c:pt>
                <c:pt idx="101">
                  <c:v>0.99510341685726389</c:v>
                </c:pt>
                <c:pt idx="102">
                  <c:v>0.99544047059235641</c:v>
                </c:pt>
                <c:pt idx="103">
                  <c:v>0.99575368464843805</c:v>
                </c:pt>
                <c:pt idx="104">
                  <c:v>0.99604478083257597</c:v>
                </c:pt>
                <c:pt idx="105">
                  <c:v>0.9963153550174122</c:v>
                </c:pt>
                <c:pt idx="106">
                  <c:v>0.99656688635739554</c:v>
                </c:pt>
                <c:pt idx="107">
                  <c:v>0.99680074584321798</c:v>
                </c:pt>
                <c:pt idx="108">
                  <c:v>0.99701820423937504</c:v>
                </c:pt>
                <c:pt idx="109">
                  <c:v>0.99722043944714822</c:v>
                </c:pt>
                <c:pt idx="110">
                  <c:v>0.99740854333276197</c:v>
                </c:pt>
                <c:pt idx="111">
                  <c:v>0.99758352805802541</c:v>
                </c:pt>
                <c:pt idx="112">
                  <c:v>0.99774633194842566</c:v>
                </c:pt>
                <c:pt idx="113">
                  <c:v>0.99789782493140333</c:v>
                </c:pt>
                <c:pt idx="114">
                  <c:v>0.9980388135754118</c:v>
                </c:pt>
                <c:pt idx="115">
                  <c:v>0.99817004575834378</c:v>
                </c:pt>
                <c:pt idx="116">
                  <c:v>0.99829221499199561</c:v>
                </c:pt>
                <c:pt idx="117">
                  <c:v>0.99840596442743534</c:v>
                </c:pt>
                <c:pt idx="118">
                  <c:v>0.99851189056443945</c:v>
                </c:pt>
                <c:pt idx="119">
                  <c:v>0.99861054668656191</c:v>
                </c:pt>
                <c:pt idx="120">
                  <c:v>0.99870244604189684</c:v>
                </c:pt>
                <c:pt idx="121">
                  <c:v>0.9987880647881856</c:v>
                </c:pt>
                <c:pt idx="122">
                  <c:v>0.99886784471959855</c:v>
                </c:pt>
                <c:pt idx="123">
                  <c:v>0.99894219579128918</c:v>
                </c:pt>
                <c:pt idx="124">
                  <c:v>0.99901149845665993</c:v>
                </c:pt>
                <c:pt idx="125">
                  <c:v>0.9990761058312071</c:v>
                </c:pt>
                <c:pt idx="126">
                  <c:v>0.99913634569580334</c:v>
                </c:pt>
                <c:pt idx="127">
                  <c:v>0.99919252235134348</c:v>
                </c:pt>
                <c:pt idx="128">
                  <c:v>0.99924491833580653</c:v>
                </c:pt>
                <c:pt idx="129">
                  <c:v>0.99929379601397617</c:v>
                </c:pt>
                <c:pt idx="130">
                  <c:v>0.99933939904930968</c:v>
                </c:pt>
                <c:pt idx="131">
                  <c:v>0.99938195376674244</c:v>
                </c:pt>
                <c:pt idx="132">
                  <c:v>0.99942167041456731</c:v>
                </c:pt>
                <c:pt idx="133">
                  <c:v>0.99945874433292314</c:v>
                </c:pt>
                <c:pt idx="134">
                  <c:v>0.99949335703586528</c:v>
                </c:pt>
                <c:pt idx="135">
                  <c:v>0.99952567721347474</c:v>
                </c:pt>
                <c:pt idx="136">
                  <c:v>0.9995558616599779</c:v>
                </c:pt>
                <c:pt idx="137">
                  <c:v>0.99958405613340362</c:v>
                </c:pt>
                <c:pt idx="138">
                  <c:v>0.99961039615189051</c:v>
                </c:pt>
                <c:pt idx="139">
                  <c:v>0.99963500773137548</c:v>
                </c:pt>
                <c:pt idx="140">
                  <c:v>0.99965800806903804</c:v>
                </c:pt>
                <c:pt idx="141">
                  <c:v>0.99967950617654799</c:v>
                </c:pt>
                <c:pt idx="142">
                  <c:v>0.99969960346685893</c:v>
                </c:pt>
                <c:pt idx="143">
                  <c:v>0.99971839429801168</c:v>
                </c:pt>
                <c:pt idx="144">
                  <c:v>0.99973596647714613</c:v>
                </c:pt>
                <c:pt idx="145">
                  <c:v>0.99975240172768676</c:v>
                </c:pt>
                <c:pt idx="146">
                  <c:v>0.99976777612243606</c:v>
                </c:pt>
                <c:pt idx="147">
                  <c:v>0.99978216048511326</c:v>
                </c:pt>
                <c:pt idx="148">
                  <c:v>0.99979562076267614</c:v>
                </c:pt>
                <c:pt idx="149">
                  <c:v>0.99980821837059608</c:v>
                </c:pt>
                <c:pt idx="150">
                  <c:v>0.99982001051308733</c:v>
                </c:pt>
                <c:pt idx="151">
                  <c:v>0.9998310504801452</c:v>
                </c:pt>
                <c:pt idx="152">
                  <c:v>0.99984138792310617</c:v>
                </c:pt>
                <c:pt idx="153">
                  <c:v>0.99985106911031629</c:v>
                </c:pt>
                <c:pt idx="154">
                  <c:v>0.99986013716437327</c:v>
                </c:pt>
                <c:pt idx="155">
                  <c:v>0.99986863228230061</c:v>
                </c:pt>
                <c:pt idx="156">
                  <c:v>0.99987659193990686</c:v>
                </c:pt>
                <c:pt idx="157">
                  <c:v>0.99988405108149347</c:v>
                </c:pt>
                <c:pt idx="158">
                  <c:v>0.99989104229598369</c:v>
                </c:pt>
                <c:pt idx="159">
                  <c:v>0.99989759598046779</c:v>
                </c:pt>
                <c:pt idx="160">
                  <c:v>0.99990374049208508</c:v>
                </c:pt>
                <c:pt idx="161">
                  <c:v>0.99990950228909325</c:v>
                </c:pt>
                <c:pt idx="162">
                  <c:v>0.99991490606191336</c:v>
                </c:pt>
                <c:pt idx="163">
                  <c:v>0.99991997485488093</c:v>
                </c:pt>
                <c:pt idx="164">
                  <c:v>0.99992473017937733</c:v>
                </c:pt>
                <c:pt idx="165">
                  <c:v>0.99992919211896758</c:v>
                </c:pt>
                <c:pt idx="166">
                  <c:v>0.99993337942712324</c:v>
                </c:pt>
                <c:pt idx="167">
                  <c:v>0.99993730961806604</c:v>
                </c:pt>
                <c:pt idx="168">
                  <c:v>0.99994099905123002</c:v>
                </c:pt>
                <c:pt idx="169">
                  <c:v>0.999944463009801</c:v>
                </c:pt>
                <c:pt idx="170">
                  <c:v>0.9999477157737594</c:v>
                </c:pt>
                <c:pt idx="171">
                  <c:v>0.99995077068782201</c:v>
                </c:pt>
                <c:pt idx="172">
                  <c:v>0.99995364022464772</c:v>
                </c:pt>
                <c:pt idx="173">
                  <c:v>0.99995633604364553</c:v>
                </c:pt>
                <c:pt idx="174">
                  <c:v>0.99995886904570097</c:v>
                </c:pt>
                <c:pt idx="175">
                  <c:v>0.99996124942410891</c:v>
                </c:pt>
                <c:pt idx="176">
                  <c:v>0.99996348671198598</c:v>
                </c:pt>
                <c:pt idx="177">
                  <c:v>0.99996558982640982</c:v>
                </c:pt>
                <c:pt idx="178">
                  <c:v>0.99996756710951928</c:v>
                </c:pt>
                <c:pt idx="179">
                  <c:v>0.99996942636678943</c:v>
                </c:pt>
                <c:pt idx="180">
                  <c:v>0.99997117490268161</c:v>
                </c:pt>
                <c:pt idx="181">
                  <c:v>0.99997281955385342</c:v>
                </c:pt>
                <c:pt idx="182">
                  <c:v>0.99997436672009943</c:v>
                </c:pt>
                <c:pt idx="183">
                  <c:v>0.99997582239318394</c:v>
                </c:pt>
                <c:pt idx="184">
                  <c:v>0.99997719218371173</c:v>
                </c:pt>
                <c:pt idx="185">
                  <c:v>0.99997848134617484</c:v>
                </c:pt>
                <c:pt idx="186">
                  <c:v>0.99997969480230242</c:v>
                </c:pt>
                <c:pt idx="187">
                  <c:v>0.99998083716283281</c:v>
                </c:pt>
                <c:pt idx="188">
                  <c:v>0.99998191274781589</c:v>
                </c:pt>
                <c:pt idx="189">
                  <c:v>0.99998292560554969</c:v>
                </c:pt>
                <c:pt idx="190">
                  <c:v>0.99998387953024381</c:v>
                </c:pt>
                <c:pt idx="191">
                  <c:v>0.99998477807849984</c:v>
                </c:pt>
                <c:pt idx="192">
                  <c:v>0.99998562458468843</c:v>
                </c:pt>
                <c:pt idx="193">
                  <c:v>0.99998642217530054</c:v>
                </c:pt>
                <c:pt idx="194">
                  <c:v>0.99998717378234203</c:v>
                </c:pt>
                <c:pt idx="195">
                  <c:v>0.99998788215583823</c:v>
                </c:pt>
                <c:pt idx="196">
                  <c:v>0.99998854987550911</c:v>
                </c:pt>
                <c:pt idx="197">
                  <c:v>0.99998917936167164</c:v>
                </c:pt>
                <c:pt idx="198">
                  <c:v>0.99998977288542124</c:v>
                </c:pt>
                <c:pt idx="199">
                  <c:v>0.99999033257814363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CD-46B5-9335-1F5E2C7461F1}"/>
            </c:ext>
          </c:extLst>
        </c:ser>
        <c:ser>
          <c:idx val="2"/>
          <c:order val="2"/>
          <c:tx>
            <c:strRef>
              <c:f>'Fragility Data'!$D$1</c:f>
              <c:strCache>
                <c:ptCount val="1"/>
                <c:pt idx="0">
                  <c:v>DS3 (diagnostic)</c:v>
                </c:pt>
              </c:strCache>
            </c:strRef>
          </c:tx>
          <c:spPr>
            <a:ln w="19080">
              <a:solidFill>
                <a:srgbClr val="D9770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'Fragility Data'!$A$2:$A$201</c:f>
              <c:numCache>
                <c:formatCode>General</c:formatCode>
                <c:ptCount val="20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</c:numCache>
            </c:numRef>
          </c:xVal>
          <c:yVal>
            <c:numRef>
              <c:f>'Fragility Data'!$D$2:$D$201</c:f>
              <c:numCache>
                <c:formatCode>0.000</c:formatCode>
                <c:ptCount val="200"/>
                <c:pt idx="0">
                  <c:v>5.6249354101561206E-38</c:v>
                </c:pt>
                <c:pt idx="1">
                  <c:v>3.2950479494763655E-24</c:v>
                </c:pt>
                <c:pt idx="2">
                  <c:v>6.5065679927490016E-19</c:v>
                </c:pt>
                <c:pt idx="3">
                  <c:v>8.2987319739935637E-16</c:v>
                </c:pt>
                <c:pt idx="4">
                  <c:v>1.0991017701402987E-13</c:v>
                </c:pt>
                <c:pt idx="5">
                  <c:v>4.1152518087571722E-12</c:v>
                </c:pt>
                <c:pt idx="6">
                  <c:v>6.9565425634119204E-11</c:v>
                </c:pt>
                <c:pt idx="7">
                  <c:v>6.8447249793357667E-10</c:v>
                </c:pt>
                <c:pt idx="8">
                  <c:v>4.5640715018185144E-9</c:v>
                </c:pt>
                <c:pt idx="9">
                  <c:v>2.2742053382042157E-8</c:v>
                </c:pt>
                <c:pt idx="10">
                  <c:v>9.0477371806870674E-8</c:v>
                </c:pt>
                <c:pt idx="11">
                  <c:v>3.0114854871143334E-7</c:v>
                </c:pt>
                <c:pt idx="12">
                  <c:v>8.6769000842978456E-7</c:v>
                </c:pt>
                <c:pt idx="13">
                  <c:v>2.2202417077324198E-6</c:v>
                </c:pt>
                <c:pt idx="14">
                  <c:v>5.1453078769509112E-6</c:v>
                </c:pt>
                <c:pt idx="15">
                  <c:v>1.0966450127372424E-5</c:v>
                </c:pt>
                <c:pt idx="16">
                  <c:v>2.1760493503753601E-5</c:v>
                </c:pt>
                <c:pt idx="17">
                  <c:v>4.0597623360535287E-5</c:v>
                </c:pt>
                <c:pt idx="18">
                  <c:v>7.1789579978770169E-5</c:v>
                </c:pt>
                <c:pt idx="19">
                  <c:v>1.2112798318100716E-4</c:v>
                </c:pt>
                <c:pt idx="20">
                  <c:v>1.9609476784356991E-4</c:v>
                </c:pt>
                <c:pt idx="21">
                  <c:v>3.0602855332111383E-4</c:v>
                </c:pt>
                <c:pt idx="22">
                  <c:v>4.6223404799593899E-4</c:v>
                </c:pt>
                <c:pt idx="23">
                  <c:v>6.7802574998142653E-4</c:v>
                </c:pt>
                <c:pt idx="24">
                  <c:v>9.6870170028020446E-4</c:v>
                </c:pt>
                <c:pt idx="25">
                  <c:v>1.3514474078986092E-3</c:v>
                </c:pt>
                <c:pt idx="26">
                  <c:v>1.8451739450708634E-3</c:v>
                </c:pt>
                <c:pt idx="27">
                  <c:v>2.4702973766706502E-3</c:v>
                </c:pt>
                <c:pt idx="28">
                  <c:v>3.2484690278901896E-3</c:v>
                </c:pt>
                <c:pt idx="29">
                  <c:v>4.2022675902585E-3</c:v>
                </c:pt>
                <c:pt idx="30">
                  <c:v>5.3548647709767035E-3</c:v>
                </c:pt>
                <c:pt idx="31">
                  <c:v>6.7296762044066127E-3</c:v>
                </c:pt>
                <c:pt idx="32">
                  <c:v>8.3500087934446025E-3</c:v>
                </c:pt>
                <c:pt idx="33">
                  <c:v>1.0238714667621563E-2</c:v>
                </c:pt>
                <c:pt idx="34">
                  <c:v>1.2417860665799885E-2</c:v>
                </c:pt>
                <c:pt idx="35">
                  <c:v>1.4908420794094483E-2</c:v>
                </c:pt>
                <c:pt idx="36">
                  <c:v>1.772999757705827E-2</c:v>
                </c:pt>
                <c:pt idx="37">
                  <c:v>2.0900576696110059E-2</c:v>
                </c:pt>
                <c:pt idx="38">
                  <c:v>2.4436317858247611E-2</c:v>
                </c:pt>
                <c:pt idx="39">
                  <c:v>2.8351383506821929E-2</c:v>
                </c:pt>
                <c:pt idx="40">
                  <c:v>3.265780580504743E-2</c:v>
                </c:pt>
                <c:pt idx="41">
                  <c:v>3.7365391308892999E-2</c:v>
                </c:pt>
                <c:pt idx="42">
                  <c:v>4.2481661904919962E-2</c:v>
                </c:pt>
                <c:pt idx="43">
                  <c:v>4.8011829917835064E-2</c:v>
                </c:pt>
                <c:pt idx="44">
                  <c:v>5.3958804783047404E-2</c:v>
                </c:pt>
                <c:pt idx="45">
                  <c:v>6.0323228318062791E-2</c:v>
                </c:pt>
                <c:pt idx="46">
                  <c:v>6.7103535397150013E-2</c:v>
                </c:pt>
                <c:pt idx="47">
                  <c:v>7.4296036719038047E-2</c:v>
                </c:pt>
                <c:pt idx="48">
                  <c:v>8.1895020339817146E-2</c:v>
                </c:pt>
                <c:pt idx="49">
                  <c:v>8.9892868705533618E-2</c:v>
                </c:pt>
                <c:pt idx="50">
                  <c:v>9.8280188045005851E-2</c:v>
                </c:pt>
                <c:pt idx="51">
                  <c:v>0.10704594715833925</c:v>
                </c:pt>
                <c:pt idx="52">
                  <c:v>0.11617762284723541</c:v>
                </c:pt>
                <c:pt idx="53">
                  <c:v>0.12566134946791122</c:v>
                </c:pt>
                <c:pt idx="54">
                  <c:v>0.13548207033636395</c:v>
                </c:pt>
                <c:pt idx="55">
                  <c:v>0.14562368897055314</c:v>
                </c:pt>
                <c:pt idx="56">
                  <c:v>0.15606921840804475</c:v>
                </c:pt>
                <c:pt idx="57">
                  <c:v>0.16680092708537089</c:v>
                </c:pt>
                <c:pt idx="58">
                  <c:v>0.17780048000262544</c:v>
                </c:pt>
                <c:pt idx="59">
                  <c:v>0.18904907412056796</c:v>
                </c:pt>
                <c:pt idx="60">
                  <c:v>0.20052756714554845</c:v>
                </c:pt>
                <c:pt idx="61">
                  <c:v>0.21221659904854878</c:v>
                </c:pt>
                <c:pt idx="62">
                  <c:v>0.22409670583781141</c:v>
                </c:pt>
                <c:pt idx="63">
                  <c:v>0.23614842525971436</c:v>
                </c:pt>
                <c:pt idx="64">
                  <c:v>0.24835239423996547</c:v>
                </c:pt>
                <c:pt idx="65">
                  <c:v>0.2606894379973983</c:v>
                </c:pt>
                <c:pt idx="66">
                  <c:v>0.27314065086645101</c:v>
                </c:pt>
                <c:pt idx="67">
                  <c:v>0.28568746895277275</c:v>
                </c:pt>
                <c:pt idx="68">
                  <c:v>0.29831173482044165</c:v>
                </c:pt>
                <c:pt idx="69">
                  <c:v>0.31099575447013178</c:v>
                </c:pt>
                <c:pt idx="70">
                  <c:v>0.32372234691645912</c:v>
                </c:pt>
                <c:pt idx="71">
                  <c:v>0.33647488671083225</c:v>
                </c:pt>
                <c:pt idx="72">
                  <c:v>0.34923733978463056</c:v>
                </c:pt>
                <c:pt idx="73">
                  <c:v>0.36199429300752073</c:v>
                </c:pt>
                <c:pt idx="74">
                  <c:v>0.37473097786829679</c:v>
                </c:pt>
                <c:pt idx="75">
                  <c:v>0.3874332886917734</c:v>
                </c:pt>
                <c:pt idx="76">
                  <c:v>0.40008779580590437</c:v>
                </c:pt>
                <c:pt idx="77">
                  <c:v>0.41268175406929597</c:v>
                </c:pt>
                <c:pt idx="78">
                  <c:v>0.42520310716140053</c:v>
                </c:pt>
                <c:pt idx="79">
                  <c:v>0.43764048802662847</c:v>
                </c:pt>
                <c:pt idx="80">
                  <c:v>0.44998321585000695</c:v>
                </c:pt>
                <c:pt idx="81">
                  <c:v>0.46222128992642003</c:v>
                </c:pt>
                <c:pt idx="82">
                  <c:v>0.47434538076836313</c:v>
                </c:pt>
                <c:pt idx="83">
                  <c:v>0.48634681877897085</c:v>
                </c:pt>
                <c:pt idx="84">
                  <c:v>0.49821758079819678</c:v>
                </c:pt>
                <c:pt idx="85">
                  <c:v>0.50995027481075783</c:v>
                </c:pt>
                <c:pt idx="86">
                  <c:v>0.52153812308507508</c:v>
                </c:pt>
                <c:pt idx="87">
                  <c:v>0.53297494399317968</c:v>
                </c:pt>
                <c:pt idx="88">
                  <c:v>0.54425513274257642</c:v>
                </c:pt>
                <c:pt idx="89">
                  <c:v>0.55537364123256139</c:v>
                </c:pt>
                <c:pt idx="90">
                  <c:v>0.56632595722954593</c:v>
                </c:pt>
                <c:pt idx="91">
                  <c:v>0.57710808303869743</c:v>
                </c:pt>
                <c:pt idx="92">
                  <c:v>0.58771651383269496</c:v>
                </c:pt>
                <c:pt idx="93">
                  <c:v>0.59814821578270783</c:v>
                </c:pt>
                <c:pt idx="94">
                  <c:v>0.60840060412183461</c:v>
                </c:pt>
                <c:pt idx="95">
                  <c:v>0.61847152125725213</c:v>
                </c:pt>
                <c:pt idx="96">
                  <c:v>0.62835921503417735</c:v>
                </c:pt>
                <c:pt idx="97">
                  <c:v>0.63806231724249252</c:v>
                </c:pt>
                <c:pt idx="98">
                  <c:v>0.64757982244546075</c:v>
                </c:pt>
                <c:pt idx="99">
                  <c:v>0.65691106719938608</c:v>
                </c:pt>
                <c:pt idx="100">
                  <c:v>0.66605570972330741</c:v>
                </c:pt>
                <c:pt idx="101">
                  <c:v>0.67501371006883137</c:v>
                </c:pt>
                <c:pt idx="102">
                  <c:v>0.68378531083197824</c:v>
                </c:pt>
                <c:pt idx="103">
                  <c:v>0.69237101844139648</c:v>
                </c:pt>
                <c:pt idx="104">
                  <c:v>0.70077158505047465</c:v>
                </c:pt>
                <c:pt idx="105">
                  <c:v>0.70898799105467447</c:v>
                </c:pt>
                <c:pt idx="106">
                  <c:v>0.71702142824983306</c:v>
                </c:pt>
                <c:pt idx="107">
                  <c:v>0.72487328364215564</c:v>
                </c:pt>
                <c:pt idx="108">
                  <c:v>0.73254512391613191</c:v>
                </c:pt>
                <c:pt idx="109">
                  <c:v>0.74003868056261657</c:v>
                </c:pt>
                <c:pt idx="110">
                  <c:v>0.7473558356657739</c:v>
                </c:pt>
                <c:pt idx="111">
                  <c:v>0.75449860834447224</c:v>
                </c:pt>
                <c:pt idx="112">
                  <c:v>0.76146914184099701</c:v>
                </c:pt>
                <c:pt idx="113">
                  <c:v>0.76826969124758127</c:v>
                </c:pt>
                <c:pt idx="114">
                  <c:v>0.77490261185922538</c:v>
                </c:pt>
                <c:pt idx="115">
                  <c:v>0.78137034813954087</c:v>
                </c:pt>
                <c:pt idx="116">
                  <c:v>0.78767542328489704</c:v>
                </c:pt>
                <c:pt idx="117">
                  <c:v>0.79382042937093966</c:v>
                </c:pt>
                <c:pt idx="118">
                  <c:v>0.79980801806456958</c:v>
                </c:pt>
                <c:pt idx="119">
                  <c:v>0.80564089188368226</c:v>
                </c:pt>
                <c:pt idx="120">
                  <c:v>0.81132179598637988</c:v>
                </c:pt>
                <c:pt idx="121">
                  <c:v>0.81685351047092802</c:v>
                </c:pt>
                <c:pt idx="122">
                  <c:v>0.82223884316744145</c:v>
                </c:pt>
                <c:pt idx="123">
                  <c:v>0.82748062290212798</c:v>
                </c:pt>
                <c:pt idx="124">
                  <c:v>0.83258169321487241</c:v>
                </c:pt>
                <c:pt idx="125">
                  <c:v>0.83754490651100055</c:v>
                </c:pt>
                <c:pt idx="126">
                  <c:v>0.84237311862820896</c:v>
                </c:pt>
                <c:pt idx="127">
                  <c:v>0.84706918379986529</c:v>
                </c:pt>
                <c:pt idx="128">
                  <c:v>0.85163594999617565</c:v>
                </c:pt>
                <c:pt idx="129">
                  <c:v>0.85607625462505277</c:v>
                </c:pt>
                <c:pt idx="130">
                  <c:v>0.86039292057491712</c:v>
                </c:pt>
                <c:pt idx="131">
                  <c:v>0.86458875258208867</c:v>
                </c:pt>
                <c:pt idx="132">
                  <c:v>0.86866653390589221</c:v>
                </c:pt>
                <c:pt idx="133">
                  <c:v>0.87262902329509273</c:v>
                </c:pt>
                <c:pt idx="134">
                  <c:v>0.87647895222978101</c:v>
                </c:pt>
                <c:pt idx="135">
                  <c:v>0.88021902242336114</c:v>
                </c:pt>
                <c:pt idx="136">
                  <c:v>0.88385190356982768</c:v>
                </c:pt>
                <c:pt idx="137">
                  <c:v>0.88738023132205912</c:v>
                </c:pt>
                <c:pt idx="138">
                  <c:v>0.89080660548740931</c:v>
                </c:pt>
                <c:pt idx="139">
                  <c:v>0.89413358842741764</c:v>
                </c:pt>
                <c:pt idx="140">
                  <c:v>0.89736370364900753</c:v>
                </c:pt>
                <c:pt idx="141">
                  <c:v>0.90049943457508219</c:v>
                </c:pt>
                <c:pt idx="142">
                  <c:v>0.90354322348295846</c:v>
                </c:pt>
                <c:pt idx="143">
                  <c:v>0.90649747059960029</c:v>
                </c:pt>
                <c:pt idx="144">
                  <c:v>0.90936453334313472</c:v>
                </c:pt>
                <c:pt idx="145">
                  <c:v>0.91214672570062405</c:v>
                </c:pt>
                <c:pt idx="146">
                  <c:v>0.91484631773256964</c:v>
                </c:pt>
                <c:pt idx="147">
                  <c:v>0.91746553519508744</c:v>
                </c:pt>
                <c:pt idx="148">
                  <c:v>0.92000655927116481</c:v>
                </c:pt>
                <c:pt idx="149">
                  <c:v>0.92247152640285413</c:v>
                </c:pt>
                <c:pt idx="150">
                  <c:v>0.92486252821668802</c:v>
                </c:pt>
                <c:pt idx="151">
                  <c:v>0.92718161153502243</c:v>
                </c:pt>
                <c:pt idx="152">
                  <c:v>0.92943077846641442</c:v>
                </c:pt>
                <c:pt idx="153">
                  <c:v>0.93161198656852628</c:v>
                </c:pt>
                <c:pt idx="154">
                  <c:v>0.93372714907742227</c:v>
                </c:pt>
                <c:pt idx="155">
                  <c:v>0.93577813519747899</c:v>
                </c:pt>
                <c:pt idx="156">
                  <c:v>0.93776677044646906</c:v>
                </c:pt>
                <c:pt idx="157">
                  <c:v>0.93969483705070966</c:v>
                </c:pt>
                <c:pt idx="158">
                  <c:v>0.94156407438547307</c:v>
                </c:pt>
                <c:pt idx="159">
                  <c:v>0.9433761794561587</c:v>
                </c:pt>
                <c:pt idx="160">
                  <c:v>0.9451328074160058</c:v>
                </c:pt>
                <c:pt idx="161">
                  <c:v>0.94683557211640046</c:v>
                </c:pt>
                <c:pt idx="162">
                  <c:v>0.94848604668608094</c:v>
                </c:pt>
                <c:pt idx="163">
                  <c:v>0.95008576413579771</c:v>
                </c:pt>
                <c:pt idx="164">
                  <c:v>0.95163621798520825</c:v>
                </c:pt>
                <c:pt idx="165">
                  <c:v>0.9531388629090114</c:v>
                </c:pt>
                <c:pt idx="166">
                  <c:v>0.95459511539953312</c:v>
                </c:pt>
                <c:pt idx="167">
                  <c:v>0.95600635444317117</c:v>
                </c:pt>
                <c:pt idx="168">
                  <c:v>0.95737392220829509</c:v>
                </c:pt>
                <c:pt idx="169">
                  <c:v>0.95869912474237218</c:v>
                </c:pt>
                <c:pt idx="170">
                  <c:v>0.95998323267625663</c:v>
                </c:pt>
                <c:pt idx="171">
                  <c:v>0.96122748193373742</c:v>
                </c:pt>
                <c:pt idx="172">
                  <c:v>0.96243307444458703</c:v>
                </c:pt>
                <c:pt idx="173">
                  <c:v>0.96360117885949303</c:v>
                </c:pt>
                <c:pt idx="174">
                  <c:v>0.96473293126538495</c:v>
                </c:pt>
                <c:pt idx="175">
                  <c:v>0.9658294358997942</c:v>
                </c:pt>
                <c:pt idx="176">
                  <c:v>0.96689176586299752</c:v>
                </c:pt>
                <c:pt idx="177">
                  <c:v>0.96792096382680615</c:v>
                </c:pt>
                <c:pt idx="178">
                  <c:v>0.96891804273896209</c:v>
                </c:pt>
                <c:pt idx="179">
                  <c:v>0.96988398652220142</c:v>
                </c:pt>
                <c:pt idx="180">
                  <c:v>0.97081975076713178</c:v>
                </c:pt>
                <c:pt idx="181">
                  <c:v>0.97172626341815438</c:v>
                </c:pt>
                <c:pt idx="182">
                  <c:v>0.97260442545174164</c:v>
                </c:pt>
                <c:pt idx="183">
                  <c:v>0.97345511154645292</c:v>
                </c:pt>
                <c:pt idx="184">
                  <c:v>0.97427917074413761</c:v>
                </c:pt>
                <c:pt idx="185">
                  <c:v>0.97507742710184087</c:v>
                </c:pt>
                <c:pt idx="186">
                  <c:v>0.97585068033398525</c:v>
                </c:pt>
                <c:pt idx="187">
                  <c:v>0.97659970644445493</c:v>
                </c:pt>
                <c:pt idx="188">
                  <c:v>0.97732525834826334</c:v>
                </c:pt>
                <c:pt idx="189">
                  <c:v>0.97802806648252771</c:v>
                </c:pt>
                <c:pt idx="190">
                  <c:v>0.97870883940652442</c:v>
                </c:pt>
                <c:pt idx="191">
                  <c:v>0.97936826439063185</c:v>
                </c:pt>
                <c:pt idx="192">
                  <c:v>0.98000700799401119</c:v>
                </c:pt>
                <c:pt idx="193">
                  <c:v>0.98062571663090714</c:v>
                </c:pt>
                <c:pt idx="194">
                  <c:v>0.98122501712548338</c:v>
                </c:pt>
                <c:pt idx="195">
                  <c:v>0.98180551725513499</c:v>
                </c:pt>
                <c:pt idx="196">
                  <c:v>0.98236780628225107</c:v>
                </c:pt>
                <c:pt idx="197">
                  <c:v>0.98291245547442019</c:v>
                </c:pt>
                <c:pt idx="198">
                  <c:v>0.98344001861309871</c:v>
                </c:pt>
                <c:pt idx="199">
                  <c:v>0.98395103249077875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CD-46B5-9335-1F5E2C7461F1}"/>
            </c:ext>
          </c:extLst>
        </c:ser>
        <c:ser>
          <c:idx val="3"/>
          <c:order val="3"/>
          <c:tx>
            <c:strRef>
              <c:f>'Fragility Data'!$E$1</c:f>
              <c:strCache>
                <c:ptCount val="1"/>
                <c:pt idx="0">
                  <c:v>DS4 (diagnostic)</c:v>
                </c:pt>
              </c:strCache>
            </c:strRef>
          </c:tx>
          <c:spPr>
            <a:ln w="19080">
              <a:solidFill>
                <a:srgbClr val="C8442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'Fragility Data'!$A$2:$A$201</c:f>
              <c:numCache>
                <c:formatCode>General</c:formatCode>
                <c:ptCount val="20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  <c:pt idx="51">
                  <c:v>1.03</c:v>
                </c:pt>
                <c:pt idx="52">
                  <c:v>1.05</c:v>
                </c:pt>
                <c:pt idx="53">
                  <c:v>1.07</c:v>
                </c:pt>
                <c:pt idx="54">
                  <c:v>1.0900000000000001</c:v>
                </c:pt>
                <c:pt idx="55">
                  <c:v>1.1100000000000001</c:v>
                </c:pt>
                <c:pt idx="56">
                  <c:v>1.1299999999999999</c:v>
                </c:pt>
                <c:pt idx="57">
                  <c:v>1.1499999999999999</c:v>
                </c:pt>
                <c:pt idx="58">
                  <c:v>1.17</c:v>
                </c:pt>
                <c:pt idx="59">
                  <c:v>1.19</c:v>
                </c:pt>
                <c:pt idx="60">
                  <c:v>1.21</c:v>
                </c:pt>
                <c:pt idx="61">
                  <c:v>1.23</c:v>
                </c:pt>
                <c:pt idx="62">
                  <c:v>1.25</c:v>
                </c:pt>
                <c:pt idx="63">
                  <c:v>1.27</c:v>
                </c:pt>
                <c:pt idx="64">
                  <c:v>1.29</c:v>
                </c:pt>
                <c:pt idx="65">
                  <c:v>1.31</c:v>
                </c:pt>
                <c:pt idx="66">
                  <c:v>1.33</c:v>
                </c:pt>
                <c:pt idx="67">
                  <c:v>1.35</c:v>
                </c:pt>
                <c:pt idx="68">
                  <c:v>1.37</c:v>
                </c:pt>
                <c:pt idx="69">
                  <c:v>1.39</c:v>
                </c:pt>
                <c:pt idx="70">
                  <c:v>1.41</c:v>
                </c:pt>
                <c:pt idx="71">
                  <c:v>1.43</c:v>
                </c:pt>
                <c:pt idx="72">
                  <c:v>1.45</c:v>
                </c:pt>
                <c:pt idx="73">
                  <c:v>1.47</c:v>
                </c:pt>
                <c:pt idx="74">
                  <c:v>1.49</c:v>
                </c:pt>
                <c:pt idx="75">
                  <c:v>1.51</c:v>
                </c:pt>
                <c:pt idx="76">
                  <c:v>1.53</c:v>
                </c:pt>
                <c:pt idx="77">
                  <c:v>1.55</c:v>
                </c:pt>
                <c:pt idx="78">
                  <c:v>1.57</c:v>
                </c:pt>
                <c:pt idx="79">
                  <c:v>1.59</c:v>
                </c:pt>
                <c:pt idx="80">
                  <c:v>1.61</c:v>
                </c:pt>
                <c:pt idx="81">
                  <c:v>1.63</c:v>
                </c:pt>
                <c:pt idx="82">
                  <c:v>1.65</c:v>
                </c:pt>
                <c:pt idx="83">
                  <c:v>1.67</c:v>
                </c:pt>
                <c:pt idx="84">
                  <c:v>1.69</c:v>
                </c:pt>
                <c:pt idx="85">
                  <c:v>1.71</c:v>
                </c:pt>
                <c:pt idx="86">
                  <c:v>1.73</c:v>
                </c:pt>
                <c:pt idx="87">
                  <c:v>1.75</c:v>
                </c:pt>
                <c:pt idx="88">
                  <c:v>1.77</c:v>
                </c:pt>
                <c:pt idx="89">
                  <c:v>1.79</c:v>
                </c:pt>
                <c:pt idx="90">
                  <c:v>1.81</c:v>
                </c:pt>
                <c:pt idx="91">
                  <c:v>1.83</c:v>
                </c:pt>
                <c:pt idx="92">
                  <c:v>1.85</c:v>
                </c:pt>
                <c:pt idx="93">
                  <c:v>1.87</c:v>
                </c:pt>
                <c:pt idx="94">
                  <c:v>1.89</c:v>
                </c:pt>
                <c:pt idx="95">
                  <c:v>1.91</c:v>
                </c:pt>
                <c:pt idx="96">
                  <c:v>1.93</c:v>
                </c:pt>
                <c:pt idx="97">
                  <c:v>1.95</c:v>
                </c:pt>
                <c:pt idx="98">
                  <c:v>1.97</c:v>
                </c:pt>
                <c:pt idx="99">
                  <c:v>1.99</c:v>
                </c:pt>
                <c:pt idx="100">
                  <c:v>2.0099999999999998</c:v>
                </c:pt>
                <c:pt idx="101">
                  <c:v>2.0299999999999998</c:v>
                </c:pt>
                <c:pt idx="102">
                  <c:v>2.0499999999999998</c:v>
                </c:pt>
                <c:pt idx="103">
                  <c:v>2.0699999999999998</c:v>
                </c:pt>
                <c:pt idx="104">
                  <c:v>2.09</c:v>
                </c:pt>
                <c:pt idx="105">
                  <c:v>2.11</c:v>
                </c:pt>
                <c:pt idx="106">
                  <c:v>2.13</c:v>
                </c:pt>
                <c:pt idx="107">
                  <c:v>2.15</c:v>
                </c:pt>
                <c:pt idx="108">
                  <c:v>2.17</c:v>
                </c:pt>
                <c:pt idx="109">
                  <c:v>2.19</c:v>
                </c:pt>
                <c:pt idx="110">
                  <c:v>2.21</c:v>
                </c:pt>
                <c:pt idx="111">
                  <c:v>2.23</c:v>
                </c:pt>
                <c:pt idx="112">
                  <c:v>2.25</c:v>
                </c:pt>
                <c:pt idx="113">
                  <c:v>2.27</c:v>
                </c:pt>
                <c:pt idx="114">
                  <c:v>2.29</c:v>
                </c:pt>
                <c:pt idx="115">
                  <c:v>2.31</c:v>
                </c:pt>
                <c:pt idx="116">
                  <c:v>2.33</c:v>
                </c:pt>
                <c:pt idx="117">
                  <c:v>2.35</c:v>
                </c:pt>
                <c:pt idx="118">
                  <c:v>2.37</c:v>
                </c:pt>
                <c:pt idx="119">
                  <c:v>2.39</c:v>
                </c:pt>
                <c:pt idx="120">
                  <c:v>2.41</c:v>
                </c:pt>
                <c:pt idx="121">
                  <c:v>2.4300000000000002</c:v>
                </c:pt>
                <c:pt idx="122">
                  <c:v>2.4500000000000002</c:v>
                </c:pt>
                <c:pt idx="123">
                  <c:v>2.4700000000000002</c:v>
                </c:pt>
                <c:pt idx="124">
                  <c:v>2.4900000000000002</c:v>
                </c:pt>
                <c:pt idx="125">
                  <c:v>2.5099999999999998</c:v>
                </c:pt>
                <c:pt idx="126">
                  <c:v>2.5299999999999998</c:v>
                </c:pt>
                <c:pt idx="127">
                  <c:v>2.5499999999999998</c:v>
                </c:pt>
                <c:pt idx="128">
                  <c:v>2.57</c:v>
                </c:pt>
                <c:pt idx="129">
                  <c:v>2.59</c:v>
                </c:pt>
                <c:pt idx="130">
                  <c:v>2.61</c:v>
                </c:pt>
                <c:pt idx="131">
                  <c:v>2.63</c:v>
                </c:pt>
                <c:pt idx="132">
                  <c:v>2.65</c:v>
                </c:pt>
                <c:pt idx="133">
                  <c:v>2.67</c:v>
                </c:pt>
                <c:pt idx="134">
                  <c:v>2.69</c:v>
                </c:pt>
                <c:pt idx="135">
                  <c:v>2.71</c:v>
                </c:pt>
                <c:pt idx="136">
                  <c:v>2.73</c:v>
                </c:pt>
                <c:pt idx="137">
                  <c:v>2.75</c:v>
                </c:pt>
                <c:pt idx="138">
                  <c:v>2.77</c:v>
                </c:pt>
                <c:pt idx="139">
                  <c:v>2.79</c:v>
                </c:pt>
                <c:pt idx="140">
                  <c:v>2.81</c:v>
                </c:pt>
                <c:pt idx="141">
                  <c:v>2.83</c:v>
                </c:pt>
                <c:pt idx="142">
                  <c:v>2.85</c:v>
                </c:pt>
                <c:pt idx="143">
                  <c:v>2.87</c:v>
                </c:pt>
                <c:pt idx="144">
                  <c:v>2.89</c:v>
                </c:pt>
                <c:pt idx="145">
                  <c:v>2.91</c:v>
                </c:pt>
                <c:pt idx="146">
                  <c:v>2.93</c:v>
                </c:pt>
                <c:pt idx="147">
                  <c:v>2.95</c:v>
                </c:pt>
                <c:pt idx="148">
                  <c:v>2.97</c:v>
                </c:pt>
                <c:pt idx="149">
                  <c:v>2.99</c:v>
                </c:pt>
                <c:pt idx="150">
                  <c:v>3.01</c:v>
                </c:pt>
                <c:pt idx="151">
                  <c:v>3.03</c:v>
                </c:pt>
                <c:pt idx="152">
                  <c:v>3.05</c:v>
                </c:pt>
                <c:pt idx="153">
                  <c:v>3.07</c:v>
                </c:pt>
                <c:pt idx="154">
                  <c:v>3.09</c:v>
                </c:pt>
                <c:pt idx="155">
                  <c:v>3.11</c:v>
                </c:pt>
                <c:pt idx="156">
                  <c:v>3.13</c:v>
                </c:pt>
                <c:pt idx="157">
                  <c:v>3.15</c:v>
                </c:pt>
                <c:pt idx="158">
                  <c:v>3.17</c:v>
                </c:pt>
                <c:pt idx="159">
                  <c:v>3.19</c:v>
                </c:pt>
                <c:pt idx="160">
                  <c:v>3.21</c:v>
                </c:pt>
                <c:pt idx="161">
                  <c:v>3.23</c:v>
                </c:pt>
                <c:pt idx="162">
                  <c:v>3.25</c:v>
                </c:pt>
                <c:pt idx="163">
                  <c:v>3.27</c:v>
                </c:pt>
                <c:pt idx="164">
                  <c:v>3.29</c:v>
                </c:pt>
                <c:pt idx="165">
                  <c:v>3.31</c:v>
                </c:pt>
                <c:pt idx="166">
                  <c:v>3.33</c:v>
                </c:pt>
                <c:pt idx="167">
                  <c:v>3.35</c:v>
                </c:pt>
                <c:pt idx="168">
                  <c:v>3.37</c:v>
                </c:pt>
                <c:pt idx="169">
                  <c:v>3.39</c:v>
                </c:pt>
                <c:pt idx="170">
                  <c:v>3.41</c:v>
                </c:pt>
                <c:pt idx="171">
                  <c:v>3.43</c:v>
                </c:pt>
                <c:pt idx="172">
                  <c:v>3.45</c:v>
                </c:pt>
                <c:pt idx="173">
                  <c:v>3.47</c:v>
                </c:pt>
                <c:pt idx="174">
                  <c:v>3.49</c:v>
                </c:pt>
                <c:pt idx="175">
                  <c:v>3.51</c:v>
                </c:pt>
                <c:pt idx="176">
                  <c:v>3.53</c:v>
                </c:pt>
                <c:pt idx="177">
                  <c:v>3.55</c:v>
                </c:pt>
                <c:pt idx="178">
                  <c:v>3.57</c:v>
                </c:pt>
                <c:pt idx="179">
                  <c:v>3.59</c:v>
                </c:pt>
                <c:pt idx="180">
                  <c:v>3.61</c:v>
                </c:pt>
                <c:pt idx="181">
                  <c:v>3.63</c:v>
                </c:pt>
                <c:pt idx="182">
                  <c:v>3.65</c:v>
                </c:pt>
                <c:pt idx="183">
                  <c:v>3.67</c:v>
                </c:pt>
                <c:pt idx="184">
                  <c:v>3.69</c:v>
                </c:pt>
                <c:pt idx="185">
                  <c:v>3.71</c:v>
                </c:pt>
                <c:pt idx="186">
                  <c:v>3.73</c:v>
                </c:pt>
                <c:pt idx="187">
                  <c:v>3.75</c:v>
                </c:pt>
                <c:pt idx="188">
                  <c:v>3.77</c:v>
                </c:pt>
                <c:pt idx="189">
                  <c:v>3.79</c:v>
                </c:pt>
                <c:pt idx="190">
                  <c:v>3.81</c:v>
                </c:pt>
                <c:pt idx="191">
                  <c:v>3.83</c:v>
                </c:pt>
                <c:pt idx="192">
                  <c:v>3.85</c:v>
                </c:pt>
                <c:pt idx="193">
                  <c:v>3.87</c:v>
                </c:pt>
                <c:pt idx="194">
                  <c:v>3.89</c:v>
                </c:pt>
                <c:pt idx="195">
                  <c:v>3.91</c:v>
                </c:pt>
                <c:pt idx="196">
                  <c:v>3.93</c:v>
                </c:pt>
                <c:pt idx="197">
                  <c:v>3.95</c:v>
                </c:pt>
                <c:pt idx="198">
                  <c:v>3.97</c:v>
                </c:pt>
                <c:pt idx="199">
                  <c:v>3.99</c:v>
                </c:pt>
              </c:numCache>
            </c:numRef>
          </c:xVal>
          <c:yVal>
            <c:numRef>
              <c:f>'Fragility Data'!$E$2:$E$201</c:f>
              <c:numCache>
                <c:formatCode>0.000</c:formatCode>
                <c:ptCount val="200"/>
                <c:pt idx="0">
                  <c:v>4.7644730474160253E-44</c:v>
                </c:pt>
                <c:pt idx="1">
                  <c:v>4.782543786902557E-29</c:v>
                </c:pt>
                <c:pt idx="2">
                  <c:v>3.5259474806923517E-23</c:v>
                </c:pt>
                <c:pt idx="3">
                  <c:v>1.0688965396016585E-19</c:v>
                </c:pt>
                <c:pt idx="4">
                  <c:v>2.6991060580211361E-17</c:v>
                </c:pt>
                <c:pt idx="5">
                  <c:v>1.6901250939558785E-15</c:v>
                </c:pt>
                <c:pt idx="6">
                  <c:v>4.3801031351899166E-14</c:v>
                </c:pt>
                <c:pt idx="7">
                  <c:v>6.2101974883965177E-13</c:v>
                </c:pt>
                <c:pt idx="8">
                  <c:v>5.6965254470064717E-12</c:v>
                </c:pt>
                <c:pt idx="9">
                  <c:v>3.7665077104856167E-11</c:v>
                </c:pt>
                <c:pt idx="10">
                  <c:v>1.9318949975467814E-10</c:v>
                </c:pt>
                <c:pt idx="11">
                  <c:v>8.0969468499397844E-10</c:v>
                </c:pt>
                <c:pt idx="12">
                  <c:v>2.8805316760617817E-9</c:v>
                </c:pt>
                <c:pt idx="13">
                  <c:v>8.9507423853330728E-9</c:v>
                </c:pt>
                <c:pt idx="14">
                  <c:v>2.4833314433335163E-8</c:v>
                </c:pt>
                <c:pt idx="15">
                  <c:v>6.2588080384661157E-8</c:v>
                </c:pt>
                <c:pt idx="16">
                  <c:v>1.4527917326563229E-7</c:v>
                </c:pt>
                <c:pt idx="17">
                  <c:v>3.1405220505298306E-7</c:v>
                </c:pt>
                <c:pt idx="18">
                  <c:v>6.380365930610726E-7</c:v>
                </c:pt>
                <c:pt idx="19">
                  <c:v>1.2274790506309664E-6</c:v>
                </c:pt>
                <c:pt idx="20">
                  <c:v>2.2503581814061874E-6</c:v>
                </c:pt>
                <c:pt idx="21">
                  <c:v>3.9525320006173912E-6</c:v>
                </c:pt>
                <c:pt idx="22">
                  <c:v>6.6812492746035494E-6</c:v>
                </c:pt>
                <c:pt idx="23">
                  <c:v>1.0911632425986937E-5</c:v>
                </c:pt>
                <c:pt idx="24">
                  <c:v>1.7275533607212923E-5</c:v>
                </c:pt>
                <c:pt idx="25">
                  <c:v>2.6591992205800861E-5</c:v>
                </c:pt>
                <c:pt idx="26">
                  <c:v>3.9898392761523442E-5</c:v>
                </c:pt>
                <c:pt idx="27">
                  <c:v>5.848134337961463E-5</c:v>
                </c:pt>
                <c:pt idx="28">
                  <c:v>8.3906267880258387E-5</c:v>
                </c:pt>
                <c:pt idx="29">
                  <c:v>1.1804472780753274E-4</c:v>
                </c:pt>
                <c:pt idx="30">
                  <c:v>1.6309855761902664E-4</c:v>
                </c:pt>
                <c:pt idx="31">
                  <c:v>2.2162000036948871E-4</c:v>
                </c:pt>
                <c:pt idx="32">
                  <c:v>2.9652716328987309E-4</c:v>
                </c:pt>
                <c:pt idx="33">
                  <c:v>3.9111426378470217E-4</c:v>
                </c:pt>
                <c:pt idx="34">
                  <c:v>5.0905629775295947E-4</c:v>
                </c:pt>
                <c:pt idx="35">
                  <c:v>6.5440792578062693E-4</c:v>
                </c:pt>
                <c:pt idx="36">
                  <c:v>8.3159653174812555E-4</c:v>
                </c:pt>
                <c:pt idx="37">
                  <c:v>1.0454095571021591E-3</c:v>
                </c:pt>
                <c:pt idx="38">
                  <c:v>1.3009763481409539E-3</c:v>
                </c:pt>
                <c:pt idx="39">
                  <c:v>1.6037448701261296E-3</c:v>
                </c:pt>
                <c:pt idx="40">
                  <c:v>1.959453739023407E-3</c:v>
                </c:pt>
                <c:pt idx="41">
                  <c:v>2.3741000983956554E-3</c:v>
                </c:pt>
                <c:pt idx="42">
                  <c:v>2.8539039255156403E-3</c:v>
                </c:pt>
                <c:pt idx="43">
                  <c:v>3.4052693879331099E-3</c:v>
                </c:pt>
                <c:pt idx="44">
                  <c:v>4.0347438908668858E-3</c:v>
                </c:pt>
                <c:pt idx="45">
                  <c:v>4.748975458628628E-3</c:v>
                </c:pt>
                <c:pt idx="46">
                  <c:v>5.5546690818030625E-3</c:v>
                </c:pt>
                <c:pt idx="47">
                  <c:v>6.4585426382205201E-3</c:v>
                </c:pt>
                <c:pt idx="48">
                  <c:v>7.46728296200346E-3</c:v>
                </c:pt>
                <c:pt idx="49">
                  <c:v>8.5875025932455711E-3</c:v>
                </c:pt>
                <c:pt idx="50">
                  <c:v>9.8256976931760387E-3</c:v>
                </c:pt>
                <c:pt idx="51">
                  <c:v>1.1188207557811646E-2</c:v>
                </c:pt>
                <c:pt idx="52">
                  <c:v>1.2681176108761953E-2</c:v>
                </c:pt>
                <c:pt idx="53">
                  <c:v>1.4310515684489697E-2</c:v>
                </c:pt>
                <c:pt idx="54">
                  <c:v>1.6081873400202285E-2</c:v>
                </c:pt>
                <c:pt idx="55">
                  <c:v>1.8000600290715159E-2</c:v>
                </c:pt>
                <c:pt idx="56">
                  <c:v>2.0071723398954289E-2</c:v>
                </c:pt>
                <c:pt idx="57">
                  <c:v>2.2299920923935287E-2</c:v>
                </c:pt>
                <c:pt idx="58">
                  <c:v>2.4689500496586747E-2</c:v>
                </c:pt>
                <c:pt idx="59">
                  <c:v>2.7244380610048368E-2</c:v>
                </c:pt>
                <c:pt idx="60">
                  <c:v>2.996807519329996E-2</c:v>
                </c:pt>
                <c:pt idx="61">
                  <c:v>3.2863681283291646E-2</c:v>
                </c:pt>
                <c:pt idx="62">
                  <c:v>3.59338697211685E-2</c:v>
                </c:pt>
                <c:pt idx="63">
                  <c:v>3.9180878772660403E-2</c:v>
                </c:pt>
                <c:pt idx="64">
                  <c:v>4.2606510551113398E-2</c:v>
                </c:pt>
                <c:pt idx="65">
                  <c:v>4.6212130103800944E-2</c:v>
                </c:pt>
                <c:pt idx="66">
                  <c:v>4.9998667007854089E-2</c:v>
                </c:pt>
                <c:pt idx="67">
                  <c:v>5.3966619311149419E-2</c:v>
                </c:pt>
                <c:pt idx="68">
                  <c:v>5.8116059645525291E-2</c:v>
                </c:pt>
                <c:pt idx="69">
                  <c:v>6.2446643334495427E-2</c:v>
                </c:pt>
                <c:pt idx="70">
                  <c:v>6.6957618314908929E-2</c:v>
                </c:pt>
                <c:pt idx="71">
                  <c:v>7.1647836691497893E-2</c:v>
                </c:pt>
                <c:pt idx="72">
                  <c:v>7.6515767744692473E-2</c:v>
                </c:pt>
                <c:pt idx="73">
                  <c:v>8.1559512215195876E-2</c:v>
                </c:pt>
                <c:pt idx="74">
                  <c:v>8.677681769337367E-2</c:v>
                </c:pt>
                <c:pt idx="75">
                  <c:v>9.2165094947272264E-2</c:v>
                </c:pt>
                <c:pt idx="76">
                  <c:v>9.7721435029837073E-2</c:v>
                </c:pt>
                <c:pt idx="77">
                  <c:v>0.10344262701345329</c:v>
                </c:pt>
                <c:pt idx="78">
                  <c:v>0.10932517620808938</c:v>
                </c:pt>
                <c:pt idx="79">
                  <c:v>0.11536532272794235</c:v>
                </c:pt>
                <c:pt idx="80">
                  <c:v>0.12155906028039723</c:v>
                </c:pt>
                <c:pt idx="81">
                  <c:v>0.12790215506020466</c:v>
                </c:pt>
                <c:pt idx="82">
                  <c:v>0.13439016464093362</c:v>
                </c:pt>
                <c:pt idx="83">
                  <c:v>0.14101845676486485</c:v>
                </c:pt>
                <c:pt idx="84">
                  <c:v>0.14778222794148332</c:v>
                </c:pt>
                <c:pt idx="85">
                  <c:v>0.15467652177351709</c:v>
                </c:pt>
                <c:pt idx="86">
                  <c:v>0.16169624693800919</c:v>
                </c:pt>
                <c:pt idx="87">
                  <c:v>0.16883619475813669</c:v>
                </c:pt>
                <c:pt idx="88">
                  <c:v>0.17609105630938304</c:v>
                </c:pt>
                <c:pt idx="89">
                  <c:v>0.18345543901117789</c:v>
                </c:pt>
                <c:pt idx="90">
                  <c:v>0.19092388266223445</c:v>
                </c:pt>
                <c:pt idx="91">
                  <c:v>0.19849087488452069</c:v>
                </c:pt>
                <c:pt idx="92">
                  <c:v>0.20615086594707555</c:v>
                </c:pt>
                <c:pt idx="93">
                  <c:v>0.21389828294674307</c:v>
                </c:pt>
                <c:pt idx="94">
                  <c:v>0.22172754332832392</c:v>
                </c:pt>
                <c:pt idx="95">
                  <c:v>0.22963306773165967</c:v>
                </c:pt>
                <c:pt idx="96">
                  <c:v>0.23760929215775944</c:v>
                </c:pt>
                <c:pt idx="97">
                  <c:v>0.2456506794502844</c:v>
                </c:pt>
                <c:pt idx="98">
                  <c:v>0.25375173009251073</c:v>
                </c:pt>
                <c:pt idx="99">
                  <c:v>0.26190699232333559</c:v>
                </c:pt>
                <c:pt idx="100">
                  <c:v>0.27011107157897002</c:v>
                </c:pt>
                <c:pt idx="101">
                  <c:v>0.27835863926970927</c:v>
                </c:pt>
                <c:pt idx="102">
                  <c:v>0.28664444090358976</c:v>
                </c:pt>
                <c:pt idx="103">
                  <c:v>0.29496330357086675</c:v>
                </c:pt>
                <c:pt idx="104">
                  <c:v>0.30331014280507973</c:v>
                </c:pt>
                <c:pt idx="105">
                  <c:v>0.31167996883804583</c:v>
                </c:pt>
                <c:pt idx="106">
                  <c:v>0.32006789226744331</c:v>
                </c:pt>
                <c:pt idx="107">
                  <c:v>0.32846912915674831</c:v>
                </c:pt>
                <c:pt idx="108">
                  <c:v>0.33687900558816608</c:v>
                </c:pt>
                <c:pt idx="109">
                  <c:v>0.34529296168989604</c:v>
                </c:pt>
                <c:pt idx="110">
                  <c:v>0.35370655515957894</c:v>
                </c:pt>
                <c:pt idx="111">
                  <c:v>0.36211546430613079</c:v>
                </c:pt>
                <c:pt idx="112">
                  <c:v>0.37051549063237099</c:v>
                </c:pt>
                <c:pt idx="113">
                  <c:v>0.37890256098092984</c:v>
                </c:pt>
                <c:pt idx="114">
                  <c:v>0.38727272926587519</c:v>
                </c:pt>
                <c:pt idx="115">
                  <c:v>0.3956221778123466</c:v>
                </c:pt>
                <c:pt idx="116">
                  <c:v>0.40394721832624725</c:v>
                </c:pt>
                <c:pt idx="117">
                  <c:v>0.41224429251571132</c:v>
                </c:pt>
                <c:pt idx="118">
                  <c:v>0.42050997238567361</c:v>
                </c:pt>
                <c:pt idx="119">
                  <c:v>0.42874096022640462</c:v>
                </c:pt>
                <c:pt idx="120">
                  <c:v>0.43693408831636227</c:v>
                </c:pt>
                <c:pt idx="121">
                  <c:v>0.44508631835915508</c:v>
                </c:pt>
                <c:pt idx="122">
                  <c:v>0.45319474067381427</c:v>
                </c:pt>
                <c:pt idx="123">
                  <c:v>0.4612565731569479</c:v>
                </c:pt>
                <c:pt idx="124">
                  <c:v>0.46926916003470254</c:v>
                </c:pt>
                <c:pt idx="125">
                  <c:v>0.47722997042178539</c:v>
                </c:pt>
                <c:pt idx="126">
                  <c:v>0.48513659670412779</c:v>
                </c:pt>
                <c:pt idx="127">
                  <c:v>0.4929867527610704</c:v>
                </c:pt>
                <c:pt idx="128">
                  <c:v>0.50077827204226999</c:v>
                </c:pt>
                <c:pt idx="129">
                  <c:v>0.508509105513828</c:v>
                </c:pt>
                <c:pt idx="130">
                  <c:v>0.51617731948744972</c:v>
                </c:pt>
                <c:pt idx="131">
                  <c:v>0.52378109334576584</c:v>
                </c:pt>
                <c:pt idx="132">
                  <c:v>0.53131871717626877</c:v>
                </c:pt>
                <c:pt idx="133">
                  <c:v>0.53878858932565254</c:v>
                </c:pt>
                <c:pt idx="134">
                  <c:v>0.54618921388569575</c:v>
                </c:pt>
                <c:pt idx="135">
                  <c:v>0.55351919812119044</c:v>
                </c:pt>
                <c:pt idx="136">
                  <c:v>0.56077724984980071</c:v>
                </c:pt>
                <c:pt idx="137">
                  <c:v>0.56796217478312916</c:v>
                </c:pt>
                <c:pt idx="138">
                  <c:v>0.57507287383768868</c:v>
                </c:pt>
                <c:pt idx="139">
                  <c:v>0.58210834042390869</c:v>
                </c:pt>
                <c:pt idx="140">
                  <c:v>0.58906765772076153</c:v>
                </c:pt>
                <c:pt idx="141">
                  <c:v>0.59594999594306464</c:v>
                </c:pt>
                <c:pt idx="142">
                  <c:v>0.60275460960801497</c:v>
                </c:pt>
                <c:pt idx="143">
                  <c:v>0.60948083480702031</c:v>
                </c:pt>
                <c:pt idx="144">
                  <c:v>0.61612808648843154</c:v>
                </c:pt>
                <c:pt idx="145">
                  <c:v>0.62269585575633501</c:v>
                </c:pt>
                <c:pt idx="146">
                  <c:v>0.62918370719013861</c:v>
                </c:pt>
                <c:pt idx="147">
                  <c:v>0.63559127618928302</c:v>
                </c:pt>
                <c:pt idx="148">
                  <c:v>0.64191826634702465</c:v>
                </c:pt>
                <c:pt idx="149">
                  <c:v>0.64816444685687113</c:v>
                </c:pt>
                <c:pt idx="150">
                  <c:v>0.65432964995490472</c:v>
                </c:pt>
                <c:pt idx="151">
                  <c:v>0.66041376840090393</c:v>
                </c:pt>
                <c:pt idx="152">
                  <c:v>0.66641675300085823</c:v>
                </c:pt>
                <c:pt idx="153">
                  <c:v>0.67233861017318719</c:v>
                </c:pt>
                <c:pt idx="154">
                  <c:v>0.6781793995606914</c:v>
                </c:pt>
                <c:pt idx="155">
                  <c:v>0.6839392316900117</c:v>
                </c:pt>
                <c:pt idx="156">
                  <c:v>0.68961826568012574</c:v>
                </c:pt>
                <c:pt idx="157">
                  <c:v>0.69521670700118465</c:v>
                </c:pt>
                <c:pt idx="158">
                  <c:v>0.7007348052847796</c:v>
                </c:pt>
                <c:pt idx="159">
                  <c:v>0.70617285218653225</c:v>
                </c:pt>
                <c:pt idx="160">
                  <c:v>0.71153117930170973</c:v>
                </c:pt>
                <c:pt idx="161">
                  <c:v>0.71681015613440346</c:v>
                </c:pt>
                <c:pt idx="162">
                  <c:v>0.7220101881206421</c:v>
                </c:pt>
                <c:pt idx="163">
                  <c:v>0.72713171470566362</c:v>
                </c:pt>
                <c:pt idx="164">
                  <c:v>0.73217520747543641</c:v>
                </c:pt>
                <c:pt idx="165">
                  <c:v>0.73714116834238952</c:v>
                </c:pt>
                <c:pt idx="166">
                  <c:v>0.74203012778519883</c:v>
                </c:pt>
                <c:pt idx="167">
                  <c:v>0.74684264314236626</c:v>
                </c:pt>
                <c:pt idx="168">
                  <c:v>0.75157929695923409</c:v>
                </c:pt>
                <c:pt idx="169">
                  <c:v>0.75624069538798611</c:v>
                </c:pt>
                <c:pt idx="170">
                  <c:v>0.76082746664010792</c:v>
                </c:pt>
                <c:pt idx="171">
                  <c:v>0.76534025949070106</c:v>
                </c:pt>
                <c:pt idx="172">
                  <c:v>0.7697797418339879</c:v>
                </c:pt>
                <c:pt idx="173">
                  <c:v>0.77414659928927665</c:v>
                </c:pt>
                <c:pt idx="174">
                  <c:v>0.77844153385660753</c:v>
                </c:pt>
                <c:pt idx="175">
                  <c:v>0.78266526262125347</c:v>
                </c:pt>
                <c:pt idx="176">
                  <c:v>0.78681851650621015</c:v>
                </c:pt>
                <c:pt idx="177">
                  <c:v>0.7909020390717667</c:v>
                </c:pt>
                <c:pt idx="178">
                  <c:v>0.79491658536122778</c:v>
                </c:pt>
                <c:pt idx="179">
                  <c:v>0.79886292079182353</c:v>
                </c:pt>
                <c:pt idx="180">
                  <c:v>0.80274182008982597</c:v>
                </c:pt>
                <c:pt idx="181">
                  <c:v>0.80655406626886872</c:v>
                </c:pt>
                <c:pt idx="182">
                  <c:v>0.81030044965045844</c:v>
                </c:pt>
                <c:pt idx="183">
                  <c:v>0.81398176692564694</c:v>
                </c:pt>
                <c:pt idx="184">
                  <c:v>0.81759882025683583</c:v>
                </c:pt>
                <c:pt idx="185">
                  <c:v>0.82115241641866876</c:v>
                </c:pt>
                <c:pt idx="186">
                  <c:v>0.82464336597697496</c:v>
                </c:pt>
                <c:pt idx="187">
                  <c:v>0.8280724825047201</c:v>
                </c:pt>
                <c:pt idx="188">
                  <c:v>0.83144058183392888</c:v>
                </c:pt>
                <c:pt idx="189">
                  <c:v>0.83474848134254276</c:v>
                </c:pt>
                <c:pt idx="190">
                  <c:v>0.83799699927518945</c:v>
                </c:pt>
                <c:pt idx="191">
                  <c:v>0.84118695409684208</c:v>
                </c:pt>
                <c:pt idx="192">
                  <c:v>0.84431916387836048</c:v>
                </c:pt>
                <c:pt idx="193">
                  <c:v>0.84739444571291822</c:v>
                </c:pt>
                <c:pt idx="194">
                  <c:v>0.85041361516232739</c:v>
                </c:pt>
                <c:pt idx="195">
                  <c:v>0.85337748573229155</c:v>
                </c:pt>
                <c:pt idx="196">
                  <c:v>0.85628686837562984</c:v>
                </c:pt>
                <c:pt idx="197">
                  <c:v>0.85914257102252911</c:v>
                </c:pt>
                <c:pt idx="198">
                  <c:v>0.86194539813690163</c:v>
                </c:pt>
                <c:pt idx="199">
                  <c:v>0.86469615029793745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CD-46B5-9335-1F5E2C7461F1}"/>
            </c:ext>
          </c:extLst>
        </c:ser>
        <c:ser>
          <c:idx val="4"/>
          <c:order val="4"/>
          <c:tx>
            <c:v>Site PGA</c:v>
          </c:tx>
          <c:spPr>
            <a:ln w="47520">
              <a:solidFill>
                <a:srgbClr val="475569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'Fragility Data'!$G$2:$G$3</c:f>
              <c:numCache>
                <c:formatCode>General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'Fragility Data'!$H$2:$H$3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CD-46B5-9335-1F5E2C746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21241"/>
        <c:axId val="22409996"/>
      </c:scatterChart>
      <c:valAx>
        <c:axId val="88321241"/>
        <c:scaling>
          <c:orientation val="minMax"/>
          <c:max val="4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PGA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09996"/>
        <c:crosses val="autoZero"/>
        <c:crossBetween val="midCat"/>
        <c:majorUnit val="0.5"/>
      </c:valAx>
      <c:valAx>
        <c:axId val="2240999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P(DS ≥ ds | PGA)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321241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23</xdr:col>
      <xdr:colOff>2895</xdr:colOff>
      <xdr:row>24</xdr:row>
      <xdr:rowOff>37800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1"/>
  <sheetViews>
    <sheetView showGridLines="0" topLeftCell="A40" zoomScaleNormal="100" workbookViewId="0">
      <selection activeCell="N49" sqref="N49"/>
    </sheetView>
  </sheetViews>
  <sheetFormatPr defaultColWidth="8.7109375" defaultRowHeight="15" x14ac:dyDescent="0.25"/>
  <cols>
    <col min="1" max="1" width="2" customWidth="1"/>
    <col min="2" max="2" width="30" customWidth="1"/>
    <col min="3" max="3" width="11" customWidth="1"/>
    <col min="4" max="4" width="13" customWidth="1"/>
    <col min="5" max="5" width="7" customWidth="1"/>
    <col min="6" max="6" width="2" customWidth="1"/>
    <col min="7" max="7" width="35" bestFit="1" customWidth="1"/>
    <col min="8" max="8" width="13" customWidth="1"/>
    <col min="9" max="9" width="20" customWidth="1"/>
    <col min="10" max="10" width="16" customWidth="1"/>
    <col min="11" max="12" width="2" customWidth="1"/>
  </cols>
  <sheetData>
    <row r="1" spans="2:10" ht="27.75" customHeight="1" x14ac:dyDescent="0.25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2:10" x14ac:dyDescent="0.2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x14ac:dyDescent="0.25">
      <c r="B3" s="12" t="s">
        <v>2</v>
      </c>
      <c r="C3" s="12"/>
      <c r="D3" s="12"/>
      <c r="E3" s="12"/>
      <c r="F3" s="12"/>
      <c r="G3" s="12"/>
      <c r="H3" s="12"/>
      <c r="I3" s="12"/>
      <c r="J3" s="12"/>
    </row>
    <row r="5" spans="2:10" x14ac:dyDescent="0.25">
      <c r="B5" s="11" t="s">
        <v>3</v>
      </c>
      <c r="C5" s="11"/>
      <c r="D5" s="11"/>
      <c r="E5" s="11"/>
      <c r="F5" s="11"/>
      <c r="G5" s="11"/>
      <c r="H5" s="11"/>
      <c r="I5" s="11"/>
      <c r="J5" s="11"/>
    </row>
    <row r="6" spans="2:10" x14ac:dyDescent="0.25">
      <c r="B6" s="16" t="s">
        <v>4</v>
      </c>
      <c r="C6" s="10" t="s">
        <v>5</v>
      </c>
      <c r="D6" s="10"/>
      <c r="E6" s="10"/>
      <c r="G6" s="16" t="s">
        <v>6</v>
      </c>
      <c r="H6" s="17">
        <f ca="1">TODAY()</f>
        <v>46305</v>
      </c>
    </row>
    <row r="7" spans="2:10" x14ac:dyDescent="0.25">
      <c r="B7" s="16" t="s">
        <v>7</v>
      </c>
      <c r="C7" s="10"/>
      <c r="D7" s="10"/>
      <c r="E7" s="10"/>
      <c r="G7" s="16" t="s">
        <v>8</v>
      </c>
      <c r="H7" s="9" t="s">
        <v>9</v>
      </c>
      <c r="I7" s="9"/>
      <c r="J7" s="9"/>
    </row>
    <row r="8" spans="2:10" ht="15" customHeight="1" x14ac:dyDescent="0.25">
      <c r="B8" s="16" t="s">
        <v>10</v>
      </c>
      <c r="C8" s="10"/>
      <c r="D8" s="10"/>
      <c r="E8" s="10"/>
      <c r="G8" s="8" t="s">
        <v>11</v>
      </c>
      <c r="H8" s="8"/>
      <c r="I8" s="8"/>
      <c r="J8" s="8"/>
    </row>
    <row r="9" spans="2:10" x14ac:dyDescent="0.25">
      <c r="B9" s="16" t="s">
        <v>12</v>
      </c>
      <c r="C9" s="10"/>
      <c r="D9" s="10"/>
      <c r="E9" s="10"/>
      <c r="G9" s="8"/>
      <c r="H9" s="8"/>
      <c r="I9" s="8"/>
      <c r="J9" s="8"/>
    </row>
    <row r="11" spans="2:10" x14ac:dyDescent="0.25">
      <c r="B11" s="11" t="s">
        <v>13</v>
      </c>
      <c r="C11" s="11"/>
      <c r="D11" s="11"/>
      <c r="E11" s="11"/>
      <c r="G11" s="11" t="s">
        <v>14</v>
      </c>
      <c r="H11" s="11"/>
      <c r="I11" s="11"/>
      <c r="J11" s="11"/>
    </row>
    <row r="12" spans="2:10" x14ac:dyDescent="0.25">
      <c r="B12" s="18" t="s">
        <v>15</v>
      </c>
      <c r="C12" s="18" t="s">
        <v>16</v>
      </c>
      <c r="D12" s="18" t="s">
        <v>17</v>
      </c>
      <c r="E12" s="18" t="s">
        <v>18</v>
      </c>
      <c r="G12" s="18" t="s">
        <v>15</v>
      </c>
      <c r="H12" s="18" t="s">
        <v>19</v>
      </c>
      <c r="I12" s="18" t="s">
        <v>20</v>
      </c>
      <c r="J12" s="18" t="s">
        <v>21</v>
      </c>
    </row>
    <row r="13" spans="2:10" ht="15" customHeight="1" x14ac:dyDescent="0.25">
      <c r="B13" s="16" t="s">
        <v>22</v>
      </c>
      <c r="C13" s="19" t="s">
        <v>23</v>
      </c>
      <c r="D13" s="20">
        <v>3</v>
      </c>
      <c r="E13" s="21" t="s">
        <v>24</v>
      </c>
      <c r="G13" s="16" t="s">
        <v>25</v>
      </c>
      <c r="H13" s="22">
        <f>D34*SQRT(9.81/D14)</f>
        <v>0.41773009723404714</v>
      </c>
      <c r="I13" s="7" t="s">
        <v>26</v>
      </c>
      <c r="J13" s="7"/>
    </row>
    <row r="14" spans="2:10" ht="15" customHeight="1" x14ac:dyDescent="0.25">
      <c r="B14" s="16" t="s">
        <v>27</v>
      </c>
      <c r="C14" s="19" t="s">
        <v>28</v>
      </c>
      <c r="D14" s="20">
        <v>10</v>
      </c>
      <c r="E14" s="21" t="s">
        <v>29</v>
      </c>
      <c r="G14" s="16" t="s">
        <v>30</v>
      </c>
      <c r="H14" s="22">
        <f>(D17*D18^3/(D19*D20^3))*(D33/D14)^3</f>
        <v>1.9418074074074079</v>
      </c>
      <c r="I14" s="7" t="s">
        <v>26</v>
      </c>
      <c r="J14" s="7"/>
    </row>
    <row r="15" spans="2:10" ht="15" customHeight="1" x14ac:dyDescent="0.25">
      <c r="B15" s="16" t="s">
        <v>31</v>
      </c>
      <c r="C15" s="19" t="s">
        <v>32</v>
      </c>
      <c r="D15" s="20">
        <v>12</v>
      </c>
      <c r="E15" s="21" t="s">
        <v>29</v>
      </c>
      <c r="G15" s="16" t="s">
        <v>33</v>
      </c>
      <c r="H15" s="22">
        <f>(D14/D33)*(1-D37)</f>
        <v>0.83333333333333337</v>
      </c>
      <c r="I15" s="7" t="s">
        <v>26</v>
      </c>
      <c r="J15" s="7"/>
    </row>
    <row r="16" spans="2:10" x14ac:dyDescent="0.25">
      <c r="B16" s="16" t="s">
        <v>34</v>
      </c>
      <c r="C16" s="19" t="s">
        <v>35</v>
      </c>
      <c r="D16" s="20">
        <v>12</v>
      </c>
      <c r="E16" s="21" t="s">
        <v>29</v>
      </c>
    </row>
    <row r="17" spans="2:10" x14ac:dyDescent="0.25">
      <c r="B17" s="16" t="s">
        <v>36</v>
      </c>
      <c r="C17" s="19" t="s">
        <v>37</v>
      </c>
      <c r="D17" s="20">
        <v>0.4</v>
      </c>
      <c r="E17" s="21" t="s">
        <v>29</v>
      </c>
      <c r="G17" s="23" t="s">
        <v>38</v>
      </c>
      <c r="H17" s="24">
        <f>IF($H$7="Macro-parameters",H22,H13)</f>
        <v>0.41773009723404714</v>
      </c>
      <c r="I17" s="25" t="s">
        <v>39</v>
      </c>
      <c r="J17" s="26" t="str">
        <f>IF(AND(H17&gt;=0.174,H17&lt;=1.486),"In range","Extrapolation")</f>
        <v>In range</v>
      </c>
    </row>
    <row r="18" spans="2:10" ht="22.5" x14ac:dyDescent="0.25">
      <c r="B18" s="16" t="s">
        <v>40</v>
      </c>
      <c r="C18" s="19" t="s">
        <v>41</v>
      </c>
      <c r="D18" s="20">
        <v>0.4</v>
      </c>
      <c r="E18" s="21" t="s">
        <v>29</v>
      </c>
      <c r="G18" s="23" t="s">
        <v>42</v>
      </c>
      <c r="H18" s="24">
        <f>IF($H$7="Macro-parameters",H23,H14)</f>
        <v>1.9418074074074079</v>
      </c>
      <c r="I18" s="25" t="s">
        <v>43</v>
      </c>
      <c r="J18" s="26" t="str">
        <f>IF(AND(H18&gt;=0,H18&lt;=13.05),"In range","Extrapolation")</f>
        <v>In range</v>
      </c>
    </row>
    <row r="19" spans="2:10" ht="22.5" x14ac:dyDescent="0.25">
      <c r="B19" s="16" t="s">
        <v>44</v>
      </c>
      <c r="C19" s="19" t="s">
        <v>45</v>
      </c>
      <c r="D19" s="20">
        <v>0.25</v>
      </c>
      <c r="E19" s="21" t="s">
        <v>29</v>
      </c>
      <c r="G19" s="23" t="s">
        <v>46</v>
      </c>
      <c r="H19" s="24">
        <f>IF($H$7="Macro-parameters",H24,H15)</f>
        <v>0.83333333333333337</v>
      </c>
      <c r="I19" s="25" t="s">
        <v>47</v>
      </c>
      <c r="J19" s="26" t="str">
        <f>IF(AND(H19&gt;=0.25,H19&lt;=4.55),"In range","Extrapolation")</f>
        <v>In range</v>
      </c>
    </row>
    <row r="20" spans="2:10" x14ac:dyDescent="0.25">
      <c r="B20" s="16" t="s">
        <v>48</v>
      </c>
      <c r="C20" s="19" t="s">
        <v>49</v>
      </c>
      <c r="D20" s="20">
        <v>0.45</v>
      </c>
      <c r="E20" s="21" t="s">
        <v>29</v>
      </c>
    </row>
    <row r="21" spans="2:10" x14ac:dyDescent="0.25">
      <c r="B21" s="16" t="s">
        <v>50</v>
      </c>
      <c r="C21" s="19" t="s">
        <v>51</v>
      </c>
      <c r="D21" s="20">
        <v>3</v>
      </c>
      <c r="E21" s="21" t="s">
        <v>24</v>
      </c>
      <c r="G21" s="6" t="s">
        <v>52</v>
      </c>
      <c r="H21" s="6"/>
      <c r="I21" s="6"/>
      <c r="J21" s="6"/>
    </row>
    <row r="22" spans="2:10" x14ac:dyDescent="0.25">
      <c r="B22" s="16" t="s">
        <v>53</v>
      </c>
      <c r="C22" s="19" t="s">
        <v>54</v>
      </c>
      <c r="D22" s="20">
        <v>3</v>
      </c>
      <c r="E22" s="21" t="s">
        <v>24</v>
      </c>
      <c r="G22" s="16" t="s">
        <v>55</v>
      </c>
      <c r="H22" s="27">
        <v>0.6</v>
      </c>
    </row>
    <row r="23" spans="2:10" x14ac:dyDescent="0.25">
      <c r="B23" s="16" t="s">
        <v>56</v>
      </c>
      <c r="C23" s="19" t="s">
        <v>57</v>
      </c>
      <c r="D23" s="20">
        <v>3</v>
      </c>
      <c r="E23" s="21" t="s">
        <v>24</v>
      </c>
      <c r="G23" s="16" t="s">
        <v>58</v>
      </c>
      <c r="H23" s="27">
        <v>2</v>
      </c>
    </row>
    <row r="24" spans="2:10" x14ac:dyDescent="0.25">
      <c r="B24" s="16" t="s">
        <v>59</v>
      </c>
      <c r="C24" s="19" t="s">
        <v>60</v>
      </c>
      <c r="D24" s="20">
        <v>3</v>
      </c>
      <c r="E24" s="21" t="s">
        <v>24</v>
      </c>
      <c r="G24" s="16" t="s">
        <v>61</v>
      </c>
      <c r="H24" s="27">
        <v>1.2</v>
      </c>
    </row>
    <row r="25" spans="2:10" x14ac:dyDescent="0.25">
      <c r="B25" s="16" t="s">
        <v>62</v>
      </c>
      <c r="C25" s="19" t="s">
        <v>63</v>
      </c>
      <c r="D25" s="20">
        <v>25</v>
      </c>
      <c r="E25" s="21" t="s">
        <v>64</v>
      </c>
    </row>
    <row r="26" spans="2:10" ht="15" customHeight="1" x14ac:dyDescent="0.25">
      <c r="B26" s="16" t="s">
        <v>65</v>
      </c>
      <c r="C26" s="19" t="s">
        <v>66</v>
      </c>
      <c r="D26" s="20">
        <v>420</v>
      </c>
      <c r="E26" s="21" t="s">
        <v>64</v>
      </c>
      <c r="G26" s="28" t="s">
        <v>67</v>
      </c>
      <c r="H26" s="5" t="s">
        <v>21</v>
      </c>
      <c r="I26" s="5"/>
      <c r="J26" s="5"/>
    </row>
    <row r="27" spans="2:10" ht="15" customHeight="1" x14ac:dyDescent="0.25">
      <c r="B27" s="16" t="s">
        <v>68</v>
      </c>
      <c r="C27" s="19" t="s">
        <v>24</v>
      </c>
      <c r="D27" s="4" t="s">
        <v>266</v>
      </c>
      <c r="E27" s="4"/>
      <c r="G27" s="16" t="s">
        <v>69</v>
      </c>
      <c r="H27" s="3" t="str">
        <f>IF(AND(D13&gt;=1,D13&lt;=10),"OK","Outside 1–10 storeys")</f>
        <v>OK</v>
      </c>
      <c r="I27" s="3"/>
      <c r="J27" s="3"/>
    </row>
    <row r="28" spans="2:10" ht="22.35" customHeight="1" x14ac:dyDescent="0.25">
      <c r="B28" s="16" t="s">
        <v>70</v>
      </c>
      <c r="C28" s="19" t="s">
        <v>24</v>
      </c>
      <c r="D28" s="4" t="s">
        <v>71</v>
      </c>
      <c r="E28" s="4"/>
      <c r="G28" s="16" t="s">
        <v>72</v>
      </c>
      <c r="H28" s="3" t="str">
        <f>IF(AND(D38&gt;=1/3-0.000001,D38&lt;=3.000001),"OK","Outside 1/3–3")</f>
        <v>OK</v>
      </c>
      <c r="I28" s="3"/>
      <c r="J28" s="3"/>
    </row>
    <row r="29" spans="2:10" x14ac:dyDescent="0.25">
      <c r="B29" s="16" t="s">
        <v>73</v>
      </c>
      <c r="C29" s="19" t="s">
        <v>74</v>
      </c>
      <c r="D29" s="20">
        <v>0.25</v>
      </c>
      <c r="E29" s="21" t="s">
        <v>75</v>
      </c>
      <c r="G29" s="16" t="s">
        <v>76</v>
      </c>
      <c r="H29" s="3" t="str">
        <f>IF(AND(D25&gt;=20,D25&lt;=35),"OK","Outside 20–35 MPa")</f>
        <v>OK</v>
      </c>
      <c r="I29" s="3"/>
      <c r="J29" s="3"/>
    </row>
    <row r="30" spans="2:10" x14ac:dyDescent="0.25">
      <c r="B30" s="16" t="s">
        <v>77</v>
      </c>
      <c r="C30" s="19" t="s">
        <v>78</v>
      </c>
      <c r="D30" s="20">
        <v>0.4</v>
      </c>
      <c r="E30" s="21" t="s">
        <v>24</v>
      </c>
      <c r="G30" s="16" t="s">
        <v>79</v>
      </c>
      <c r="H30" s="3" t="str">
        <f>IF(AND(D26&gt;=280,D26&lt;=550),"OK","Outside 280–550 MPa")</f>
        <v>OK</v>
      </c>
      <c r="I30" s="3"/>
      <c r="J30" s="3"/>
    </row>
    <row r="31" spans="2:10" x14ac:dyDescent="0.25">
      <c r="G31" s="16" t="s">
        <v>68</v>
      </c>
      <c r="H31" s="3" t="str">
        <f>IF(D27="Other","Outside: fixed or clay SSI only","OK")</f>
        <v>Outside: fixed or clay SSI only</v>
      </c>
      <c r="I31" s="3"/>
      <c r="J31" s="3"/>
    </row>
    <row r="32" spans="2:10" x14ac:dyDescent="0.25">
      <c r="B32" s="11" t="s">
        <v>80</v>
      </c>
      <c r="C32" s="11"/>
      <c r="D32" s="11"/>
      <c r="E32" s="11"/>
      <c r="G32" s="16" t="s">
        <v>70</v>
      </c>
      <c r="H32" s="3" t="str">
        <f>IF(LEFT(D28,4)="Bare","OK","Outside typology: do not apply")</f>
        <v>OK</v>
      </c>
      <c r="I32" s="3"/>
      <c r="J32" s="3"/>
    </row>
    <row r="33" spans="2:10" x14ac:dyDescent="0.25">
      <c r="B33" s="16" t="s">
        <v>81</v>
      </c>
      <c r="C33" s="19" t="s">
        <v>82</v>
      </c>
      <c r="D33" s="29">
        <f>MIN(D15,D16)</f>
        <v>12</v>
      </c>
      <c r="E33" s="21" t="s">
        <v>29</v>
      </c>
      <c r="G33" s="16" t="s">
        <v>83</v>
      </c>
      <c r="H33" s="3" t="str">
        <f>IF(AND(D23&lt;=D21,D24&lt;=D22),"OK","Top storey exceeds grid")</f>
        <v>OK</v>
      </c>
      <c r="I33" s="3"/>
      <c r="J33" s="3"/>
    </row>
    <row r="34" spans="2:10" x14ac:dyDescent="0.25">
      <c r="B34" s="16" t="s">
        <v>84</v>
      </c>
      <c r="C34" s="19" t="s">
        <v>85</v>
      </c>
      <c r="D34" s="29">
        <f>0.075*D14^0.75</f>
        <v>0.42175599389276192</v>
      </c>
      <c r="E34" s="21" t="s">
        <v>86</v>
      </c>
      <c r="G34" s="23" t="s">
        <v>87</v>
      </c>
      <c r="H34" s="3" t="str">
        <f>IF(AND(COUNTIF(H27:H33,"OK")=7,COUNTIF(J17:J19,"In range")=3),"Within the applicability matrix",IF(COUNTIF(H27:H33,"OK")&lt;7,"Outside the applicability matrix: see checks","Macro-parameter extrapolation: interpret with caution"))</f>
        <v>Outside the applicability matrix: see checks</v>
      </c>
      <c r="I34" s="3"/>
      <c r="J34" s="3"/>
    </row>
    <row r="35" spans="2:10" ht="15" customHeight="1" x14ac:dyDescent="0.25">
      <c r="B35" s="16" t="s">
        <v>88</v>
      </c>
      <c r="C35" s="19" t="s">
        <v>89</v>
      </c>
      <c r="D35" s="29">
        <f>MIN(1,(D23*D24)/(D21*D22))</f>
        <v>1</v>
      </c>
      <c r="E35" s="21" t="s">
        <v>24</v>
      </c>
      <c r="G35" s="8" t="s">
        <v>90</v>
      </c>
      <c r="H35" s="8"/>
      <c r="I35" s="8"/>
      <c r="J35" s="8"/>
    </row>
    <row r="36" spans="2:10" x14ac:dyDescent="0.25">
      <c r="B36" s="16" t="s">
        <v>91</v>
      </c>
      <c r="C36" s="19" t="s">
        <v>92</v>
      </c>
      <c r="D36" s="29">
        <f>IF(D35&gt;=0.999,0,D35)</f>
        <v>0</v>
      </c>
      <c r="E36" s="21" t="s">
        <v>24</v>
      </c>
      <c r="G36" s="8"/>
      <c r="H36" s="8"/>
      <c r="I36" s="8"/>
      <c r="J36" s="8"/>
    </row>
    <row r="37" spans="2:10" x14ac:dyDescent="0.25">
      <c r="B37" s="16" t="s">
        <v>93</v>
      </c>
      <c r="C37" s="19" t="s">
        <v>94</v>
      </c>
      <c r="D37" s="29">
        <f>D36/(D13+D36)</f>
        <v>0</v>
      </c>
      <c r="E37" s="21" t="s">
        <v>24</v>
      </c>
    </row>
    <row r="38" spans="2:10" x14ac:dyDescent="0.25">
      <c r="B38" s="16" t="s">
        <v>95</v>
      </c>
      <c r="C38" s="19" t="s">
        <v>96</v>
      </c>
      <c r="D38" s="30">
        <f>(D15/D21)/(D16/D22)</f>
        <v>1</v>
      </c>
      <c r="E38" s="21" t="s">
        <v>24</v>
      </c>
      <c r="G38" s="11" t="s">
        <v>97</v>
      </c>
      <c r="H38" s="11"/>
      <c r="I38" s="11"/>
      <c r="J38" s="11"/>
    </row>
    <row r="39" spans="2:10" x14ac:dyDescent="0.25">
      <c r="G39" s="18" t="s">
        <v>98</v>
      </c>
      <c r="H39" s="18" t="s">
        <v>99</v>
      </c>
      <c r="I39" s="18" t="s">
        <v>100</v>
      </c>
      <c r="J39" s="18" t="s">
        <v>101</v>
      </c>
    </row>
    <row r="40" spans="2:10" ht="19.5" customHeight="1" x14ac:dyDescent="0.25">
      <c r="B40" s="11" t="s">
        <v>102</v>
      </c>
      <c r="C40" s="11"/>
      <c r="D40" s="11"/>
      <c r="E40" s="11"/>
      <c r="G40" s="31" t="s">
        <v>103</v>
      </c>
      <c r="H40" s="32">
        <f>SUMPRODUCT(Equations!$C$6:$C$15,$C$41:$C$50)</f>
        <v>0.34444602923177692</v>
      </c>
      <c r="I40" s="33">
        <f>IF(H40&lt;=0,0.01,H40)</f>
        <v>0.34444602923177692</v>
      </c>
      <c r="J40" s="34" t="s">
        <v>104</v>
      </c>
    </row>
    <row r="41" spans="2:10" ht="15.75" x14ac:dyDescent="0.25">
      <c r="B41" s="35" t="s">
        <v>105</v>
      </c>
      <c r="C41" s="36">
        <f>1</f>
        <v>1</v>
      </c>
      <c r="G41" s="31" t="s">
        <v>106</v>
      </c>
      <c r="H41" s="32">
        <f>SUMPRODUCT(Equations!$D$6:$D$15,$C$41:$C$50)</f>
        <v>0.72239481462916189</v>
      </c>
      <c r="I41" s="33">
        <f>IF(H41&lt;=0,0.01,H41)</f>
        <v>0.72239481462916189</v>
      </c>
      <c r="J41" s="37" t="s">
        <v>107</v>
      </c>
    </row>
    <row r="42" spans="2:10" ht="15.75" x14ac:dyDescent="0.25">
      <c r="B42" s="35" t="s">
        <v>108</v>
      </c>
      <c r="C42" s="36">
        <f>H17</f>
        <v>0.41773009723404714</v>
      </c>
      <c r="G42" s="31" t="s">
        <v>109</v>
      </c>
      <c r="H42" s="32">
        <f>SUMPRODUCT(Equations!$E$6:$E$15,$C$41:$C$50)</f>
        <v>1.6930229854705143</v>
      </c>
      <c r="I42" s="33">
        <f>IF(H42&lt;=0,0.01,H42)</f>
        <v>1.6930229854705143</v>
      </c>
      <c r="J42" s="38" t="s">
        <v>110</v>
      </c>
    </row>
    <row r="43" spans="2:10" ht="15.75" x14ac:dyDescent="0.25">
      <c r="B43" s="35" t="s">
        <v>111</v>
      </c>
      <c r="C43" s="36">
        <f>H18</f>
        <v>1.9418074074074079</v>
      </c>
      <c r="G43" s="31" t="s">
        <v>112</v>
      </c>
      <c r="H43" s="32">
        <f>SUMPRODUCT(Equations!$F$6:$F$15,$C$41:$C$50)</f>
        <v>2.5679953188018079</v>
      </c>
      <c r="I43" s="33">
        <f>IF(H43&lt;=0,0.01,H43)</f>
        <v>2.5679953188018079</v>
      </c>
      <c r="J43" s="38" t="s">
        <v>110</v>
      </c>
    </row>
    <row r="44" spans="2:10" x14ac:dyDescent="0.25">
      <c r="B44" s="35" t="s">
        <v>113</v>
      </c>
      <c r="C44" s="36">
        <f>H19</f>
        <v>0.83333333333333337</v>
      </c>
    </row>
    <row r="45" spans="2:10" ht="25.5" customHeight="1" x14ac:dyDescent="0.25">
      <c r="B45" s="35" t="s">
        <v>114</v>
      </c>
      <c r="C45" s="36">
        <f>H17^2</f>
        <v>0.17449843413516647</v>
      </c>
      <c r="G45" s="23" t="s">
        <v>115</v>
      </c>
      <c r="H45" s="3" t="str">
        <f>IF(COUNTIF(H40:H43,"&lt;=0")=0,"Passed: all medians positive","Failed: negative raw μ̂ floored at 0.01 g (high SR with high λeff)")</f>
        <v>Passed: all medians positive</v>
      </c>
      <c r="I45" s="3"/>
      <c r="J45" s="3"/>
    </row>
    <row r="46" spans="2:10" ht="25.5" customHeight="1" x14ac:dyDescent="0.25">
      <c r="B46" s="35" t="s">
        <v>116</v>
      </c>
      <c r="C46" s="36">
        <f>H17*H18</f>
        <v>0.81115139710608952</v>
      </c>
      <c r="G46" s="23" t="s">
        <v>117</v>
      </c>
      <c r="H46" s="3" t="str">
        <f>IF(AND(H40&lt;=H41,H41&lt;=H42,H42&lt;=H43),"Passed: monotonic","Failed: non-monotonic sequence, inadmissible")</f>
        <v>Passed: monotonic</v>
      </c>
      <c r="I46" s="3"/>
      <c r="J46" s="3"/>
    </row>
    <row r="47" spans="2:10" x14ac:dyDescent="0.25">
      <c r="B47" s="35" t="s">
        <v>118</v>
      </c>
      <c r="C47" s="36">
        <f>H17*H19</f>
        <v>0.34810841436170598</v>
      </c>
    </row>
    <row r="48" spans="2:10" x14ac:dyDescent="0.25">
      <c r="B48" s="35" t="s">
        <v>119</v>
      </c>
      <c r="C48" s="36">
        <f>H18^2</f>
        <v>3.7706160074622788</v>
      </c>
    </row>
    <row r="49" spans="2:10" x14ac:dyDescent="0.25">
      <c r="B49" s="35" t="s">
        <v>120</v>
      </c>
      <c r="C49" s="36">
        <f>H18*H19</f>
        <v>1.6181728395061732</v>
      </c>
    </row>
    <row r="50" spans="2:10" x14ac:dyDescent="0.25">
      <c r="B50" s="35" t="s">
        <v>121</v>
      </c>
      <c r="C50" s="36">
        <f>H19^2</f>
        <v>0.69444444444444453</v>
      </c>
    </row>
    <row r="53" spans="2:10" x14ac:dyDescent="0.25">
      <c r="B53" s="11" t="s">
        <v>122</v>
      </c>
      <c r="C53" s="11"/>
      <c r="D53" s="11"/>
      <c r="E53" s="11"/>
      <c r="F53" s="11"/>
      <c r="G53" s="11"/>
      <c r="H53" s="11"/>
      <c r="I53" s="11"/>
      <c r="J53" s="11"/>
    </row>
    <row r="54" spans="2:10" ht="15" customHeight="1" x14ac:dyDescent="0.25">
      <c r="B54" s="39" t="s">
        <v>123</v>
      </c>
      <c r="C54" s="2" t="s">
        <v>124</v>
      </c>
      <c r="D54" s="2"/>
      <c r="E54" s="2"/>
      <c r="G54" s="1" t="s">
        <v>125</v>
      </c>
      <c r="H54" s="1"/>
      <c r="I54" s="65" t="s">
        <v>126</v>
      </c>
      <c r="J54" s="65"/>
    </row>
    <row r="55" spans="2:10" ht="21.75" customHeight="1" x14ac:dyDescent="0.25">
      <c r="B55" s="66" t="str">
        <f>IF(OR(H40&lt;=0,H41&lt;=0,H40&gt;H41),"CANNOT CLASSIFY: the DS1/DS2 medians fail the sign or ordering check. Review the inputs against the applicability matrix.",IF(D29&lt;I40,"LOW RISK: site PGA "&amp;TEXT(D29,"0.00")&amp;" g is below μ̂DS1 = "&amp;TEXT(I40,"0.000")&amp;" g. Proceed with normal engineering checks.",IF(D29&lt;I41,"MODERATE RISK: site PGA "&amp;TEXT(D29,"0.00")&amp;" g lies between μ̂DS1 = "&amp;TEXT(I40,"0.000")&amp;" g and μ̂DS2 = "&amp;TEXT(I41,"0.000")&amp;" g. Review detailing; consider a detailed assessment.","HIGH RISK: site PGA "&amp;TEXT(D29,"0.00")&amp;" g ≥ μ̂DS2 = "&amp;TEXT(I41,"0.000")&amp;" g. Full IDA or a site-specific fragility study is recommended.")))</f>
        <v>LOW RISK: site PGA 0.25 g is below μ̂DS1 = 0.344 g. Proceed with normal engineering checks.</v>
      </c>
      <c r="C55" s="66"/>
      <c r="D55" s="66"/>
      <c r="E55" s="66"/>
      <c r="F55" s="66"/>
      <c r="G55" s="66"/>
      <c r="H55" s="66"/>
      <c r="I55" s="66"/>
      <c r="J55" s="66"/>
    </row>
    <row r="56" spans="2:10" ht="21.75" customHeight="1" x14ac:dyDescent="0.25">
      <c r="B56" s="66"/>
      <c r="C56" s="66"/>
      <c r="D56" s="66"/>
      <c r="E56" s="66"/>
      <c r="F56" s="66"/>
      <c r="G56" s="66"/>
      <c r="H56" s="66"/>
      <c r="I56" s="66"/>
      <c r="J56" s="66"/>
    </row>
    <row r="57" spans="2:10" ht="15" customHeight="1" x14ac:dyDescent="0.25">
      <c r="B57" s="67" t="s">
        <v>127</v>
      </c>
      <c r="C57" s="67"/>
      <c r="D57" s="67"/>
      <c r="E57" s="67"/>
      <c r="F57" s="67"/>
      <c r="G57" s="67"/>
      <c r="H57" s="67"/>
      <c r="I57" s="67"/>
      <c r="J57" s="67"/>
    </row>
    <row r="58" spans="2:10" x14ac:dyDescent="0.25">
      <c r="B58" s="67"/>
      <c r="C58" s="67"/>
      <c r="D58" s="67"/>
      <c r="E58" s="67"/>
      <c r="F58" s="67"/>
      <c r="G58" s="67"/>
      <c r="H58" s="67"/>
      <c r="I58" s="67"/>
      <c r="J58" s="67"/>
    </row>
    <row r="60" spans="2:10" ht="24" customHeight="1" x14ac:dyDescent="0.25">
      <c r="B60" s="68" t="s">
        <v>128</v>
      </c>
      <c r="C60" s="68"/>
      <c r="D60" s="68"/>
      <c r="E60" s="68"/>
      <c r="F60" s="68"/>
      <c r="G60" s="68"/>
      <c r="H60" s="68"/>
      <c r="I60" s="68"/>
      <c r="J60" s="68"/>
    </row>
    <row r="61" spans="2:10" x14ac:dyDescent="0.25">
      <c r="B61" s="69" t="s">
        <v>129</v>
      </c>
      <c r="C61" s="69"/>
      <c r="D61" s="69"/>
      <c r="E61" s="69"/>
      <c r="F61" s="69"/>
      <c r="G61" s="69"/>
      <c r="H61" s="69"/>
      <c r="I61" s="69"/>
      <c r="J61" s="69"/>
    </row>
  </sheetData>
  <mergeCells count="41">
    <mergeCell ref="B55:J56"/>
    <mergeCell ref="B57:J58"/>
    <mergeCell ref="B60:J60"/>
    <mergeCell ref="B61:J61"/>
    <mergeCell ref="H45:J45"/>
    <mergeCell ref="H46:J46"/>
    <mergeCell ref="B53:J53"/>
    <mergeCell ref="C54:E54"/>
    <mergeCell ref="G54:H54"/>
    <mergeCell ref="I54:J54"/>
    <mergeCell ref="H33:J33"/>
    <mergeCell ref="H34:J34"/>
    <mergeCell ref="G35:J36"/>
    <mergeCell ref="G38:J38"/>
    <mergeCell ref="B40:E40"/>
    <mergeCell ref="H29:J29"/>
    <mergeCell ref="H30:J30"/>
    <mergeCell ref="H31:J31"/>
    <mergeCell ref="B32:E32"/>
    <mergeCell ref="H32:J32"/>
    <mergeCell ref="G21:J21"/>
    <mergeCell ref="H26:J26"/>
    <mergeCell ref="D27:E27"/>
    <mergeCell ref="H27:J27"/>
    <mergeCell ref="D28:E28"/>
    <mergeCell ref="H28:J28"/>
    <mergeCell ref="B11:E11"/>
    <mergeCell ref="G11:J11"/>
    <mergeCell ref="I13:J13"/>
    <mergeCell ref="I14:J14"/>
    <mergeCell ref="I15:J15"/>
    <mergeCell ref="C7:E7"/>
    <mergeCell ref="H7:J7"/>
    <mergeCell ref="C8:E8"/>
    <mergeCell ref="G8:J9"/>
    <mergeCell ref="C9:E9"/>
    <mergeCell ref="B1:J1"/>
    <mergeCell ref="B2:J2"/>
    <mergeCell ref="B3:J3"/>
    <mergeCell ref="B5:J5"/>
    <mergeCell ref="C6:E6"/>
  </mergeCells>
  <conditionalFormatting sqref="B55:J56">
    <cfRule type="expression" dxfId="18" priority="2">
      <formula>LEFT($B$55,8)="LOW RISK"</formula>
    </cfRule>
    <cfRule type="expression" dxfId="17" priority="3">
      <formula>LEFT($B$55,13)="MODERATE RISK"</formula>
    </cfRule>
    <cfRule type="expression" dxfId="16" priority="4">
      <formula>LEFT($B$55,9)="HIGH RISK"</formula>
    </cfRule>
  </conditionalFormatting>
  <conditionalFormatting sqref="H27:J33">
    <cfRule type="expression" dxfId="15" priority="7">
      <formula>$H27="OK"</formula>
    </cfRule>
    <cfRule type="expression" dxfId="14" priority="8">
      <formula>$H27&lt;&gt;"OK"</formula>
    </cfRule>
  </conditionalFormatting>
  <conditionalFormatting sqref="H34:J34">
    <cfRule type="expression" dxfId="13" priority="9">
      <formula>LEFT($H$34,6)="Within"</formula>
    </cfRule>
    <cfRule type="expression" dxfId="12" priority="10">
      <formula>LEFT($H$34,6)&lt;&gt;"Within"</formula>
    </cfRule>
  </conditionalFormatting>
  <conditionalFormatting sqref="H45:J45">
    <cfRule type="expression" dxfId="11" priority="11">
      <formula>LEFT($H$45,6)="Passed"</formula>
    </cfRule>
    <cfRule type="expression" dxfId="10" priority="12">
      <formula>LEFT($H$45,6)="Failed"</formula>
    </cfRule>
  </conditionalFormatting>
  <conditionalFormatting sqref="H46:J46">
    <cfRule type="expression" dxfId="9" priority="13">
      <formula>LEFT($H$46,6)="Passed"</formula>
    </cfRule>
    <cfRule type="expression" dxfId="8" priority="14">
      <formula>LEFT($H$46,6)="Failed"</formula>
    </cfRule>
  </conditionalFormatting>
  <conditionalFormatting sqref="I40:I43">
    <cfRule type="expression" dxfId="7" priority="15">
      <formula>H40&lt;=0</formula>
    </cfRule>
  </conditionalFormatting>
  <conditionalFormatting sqref="J17:J19">
    <cfRule type="expression" dxfId="6" priority="5">
      <formula>J17="In range"</formula>
    </cfRule>
    <cfRule type="expression" dxfId="5" priority="6">
      <formula>J17&lt;&gt;"In range"</formula>
    </cfRule>
  </conditionalFormatting>
  <dataValidations count="5">
    <dataValidation type="list" sqref="H7" xr:uid="{00000000-0002-0000-0000-000000000000}">
      <formula1>"Drawings,Macro-parameters"</formula1>
      <formula2>0</formula2>
    </dataValidation>
    <dataValidation type="list" sqref="D27" xr:uid="{00000000-0002-0000-0000-000001000000}">
      <formula1>"Fixed base,SSI stiff clay,SSI medium stiff clay,SSI soft clay,Other"</formula1>
      <formula2>0</formula2>
    </dataValidation>
    <dataValidation type="list" sqref="D28" xr:uid="{00000000-0002-0000-0000-000002000000}">
      <formula1>"Bare RC frame (gravity-designed),Masonry-infilled frame,Shear walls / dual system,Seismically detailed frame,Steel / other material"</formula1>
      <formula2>0</formula2>
    </dataValidation>
    <dataValidation type="decimal" operator="greaterThan" showErrorMessage="1" error="Enter a positive number." sqref="D14:D20 D29:D30" xr:uid="{00000000-0002-0000-0000-000003000000}">
      <formula1>0</formula1>
      <formula2>0</formula2>
    </dataValidation>
    <dataValidation type="whole" operator="greaterThanOrEqual" showErrorMessage="1" error="Enter a whole number ≥ 1." sqref="D13 D21:D24" xr:uid="{00000000-0002-0000-0000-000004000000}">
      <formula1>1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27"/>
  <sheetViews>
    <sheetView zoomScaleNormal="100" workbookViewId="0"/>
  </sheetViews>
  <sheetFormatPr defaultColWidth="8.7109375" defaultRowHeight="15" x14ac:dyDescent="0.25"/>
  <cols>
    <col min="1" max="1" width="2" customWidth="1"/>
    <col min="2" max="2" width="12" customWidth="1"/>
    <col min="3" max="3" width="14" customWidth="1"/>
    <col min="4" max="4" width="12" customWidth="1"/>
    <col min="5" max="6" width="13" customWidth="1"/>
    <col min="7" max="7" width="15" customWidth="1"/>
    <col min="8" max="9" width="12" customWidth="1"/>
    <col min="10" max="10" width="16" customWidth="1"/>
    <col min="11" max="11" width="30" customWidth="1"/>
  </cols>
  <sheetData>
    <row r="1" spans="2:11" ht="25.5" customHeight="1" x14ac:dyDescent="0.25">
      <c r="B1" s="70" t="s">
        <v>130</v>
      </c>
      <c r="C1" s="70"/>
      <c r="D1" s="70"/>
      <c r="E1" s="70"/>
      <c r="F1" s="70"/>
      <c r="G1" s="70"/>
      <c r="H1" s="70"/>
      <c r="I1" s="70"/>
      <c r="J1" s="70"/>
      <c r="K1" s="70"/>
    </row>
    <row r="2" spans="2:11" ht="30" customHeight="1" x14ac:dyDescent="0.25">
      <c r="B2" s="71" t="s">
        <v>131</v>
      </c>
      <c r="C2" s="71"/>
      <c r="D2" s="71"/>
      <c r="E2" s="71"/>
      <c r="F2" s="71"/>
      <c r="G2" s="71"/>
      <c r="H2" s="71"/>
      <c r="I2" s="71"/>
      <c r="J2" s="71"/>
      <c r="K2" s="71"/>
    </row>
    <row r="4" spans="2:11" x14ac:dyDescent="0.25">
      <c r="B4" s="11" t="s">
        <v>132</v>
      </c>
      <c r="C4" s="11"/>
      <c r="D4" s="11"/>
      <c r="E4" s="11"/>
      <c r="F4" s="11"/>
      <c r="H4" s="72" t="s">
        <v>133</v>
      </c>
      <c r="I4" s="72"/>
      <c r="J4" s="72"/>
      <c r="K4" s="72"/>
    </row>
    <row r="5" spans="2:11" x14ac:dyDescent="0.25">
      <c r="B5" s="40" t="s">
        <v>134</v>
      </c>
      <c r="C5" s="40" t="s">
        <v>135</v>
      </c>
      <c r="D5" s="40" t="s">
        <v>136</v>
      </c>
      <c r="E5" s="40" t="s">
        <v>137</v>
      </c>
      <c r="F5" s="40" t="s">
        <v>138</v>
      </c>
      <c r="H5" s="40" t="s">
        <v>135</v>
      </c>
      <c r="I5" s="40" t="s">
        <v>136</v>
      </c>
      <c r="J5" s="40" t="s">
        <v>137</v>
      </c>
      <c r="K5" s="40" t="s">
        <v>138</v>
      </c>
    </row>
    <row r="6" spans="2:11" x14ac:dyDescent="0.25">
      <c r="B6" s="41" t="s">
        <v>139</v>
      </c>
      <c r="C6" s="42">
        <v>0.45219999999999999</v>
      </c>
      <c r="D6" s="42">
        <v>1.1429</v>
      </c>
      <c r="E6" s="42">
        <v>1.2876000000000001</v>
      </c>
      <c r="F6" s="42">
        <v>2.4998999999999998</v>
      </c>
      <c r="H6" s="43">
        <v>100</v>
      </c>
      <c r="I6" s="43">
        <v>100</v>
      </c>
      <c r="J6" s="43">
        <v>100</v>
      </c>
      <c r="K6" s="43">
        <v>100</v>
      </c>
    </row>
    <row r="7" spans="2:11" x14ac:dyDescent="0.25">
      <c r="B7" s="41" t="s">
        <v>140</v>
      </c>
      <c r="C7" s="42">
        <v>-0.78769999999999996</v>
      </c>
      <c r="D7" s="42">
        <v>-1.9974000000000001</v>
      </c>
      <c r="E7" s="44">
        <v>0</v>
      </c>
      <c r="F7" s="44">
        <v>0</v>
      </c>
      <c r="H7" s="43">
        <v>100</v>
      </c>
      <c r="I7" s="43">
        <v>99</v>
      </c>
      <c r="J7" s="43">
        <v>77</v>
      </c>
      <c r="K7" s="43">
        <v>14</v>
      </c>
    </row>
    <row r="8" spans="2:11" x14ac:dyDescent="0.25">
      <c r="B8" s="41" t="s">
        <v>141</v>
      </c>
      <c r="C8" s="42">
        <v>0.1618</v>
      </c>
      <c r="D8" s="42">
        <v>0.1648</v>
      </c>
      <c r="E8" s="42">
        <v>0.21940000000000001</v>
      </c>
      <c r="F8" s="44">
        <v>0</v>
      </c>
      <c r="H8" s="43">
        <v>100</v>
      </c>
      <c r="I8" s="43">
        <v>88</v>
      </c>
      <c r="J8" s="43">
        <v>93</v>
      </c>
      <c r="K8" s="43">
        <v>27.5</v>
      </c>
    </row>
    <row r="9" spans="2:11" x14ac:dyDescent="0.25">
      <c r="B9" s="41" t="s">
        <v>142</v>
      </c>
      <c r="C9" s="42">
        <v>-5.7799999999999997E-2</v>
      </c>
      <c r="D9" s="44">
        <v>0</v>
      </c>
      <c r="E9" s="44">
        <v>0</v>
      </c>
      <c r="F9" s="44">
        <v>0</v>
      </c>
      <c r="H9" s="43">
        <v>96</v>
      </c>
      <c r="I9" s="43">
        <v>40</v>
      </c>
      <c r="J9" s="43">
        <v>73.5</v>
      </c>
      <c r="K9" s="43">
        <v>0.5</v>
      </c>
    </row>
    <row r="10" spans="2:11" x14ac:dyDescent="0.25">
      <c r="B10" s="41" t="s">
        <v>143</v>
      </c>
      <c r="C10" s="42">
        <v>0.40860000000000002</v>
      </c>
      <c r="D10" s="42">
        <v>0.99550000000000005</v>
      </c>
      <c r="E10" s="42">
        <v>-0.49769999999999998</v>
      </c>
      <c r="F10" s="42">
        <v>-1.1339999999999999</v>
      </c>
      <c r="H10" s="43">
        <v>98.5</v>
      </c>
      <c r="I10" s="43">
        <v>98</v>
      </c>
      <c r="J10" s="43">
        <v>98</v>
      </c>
      <c r="K10" s="43">
        <v>69.5</v>
      </c>
    </row>
    <row r="11" spans="2:11" x14ac:dyDescent="0.25">
      <c r="B11" s="41" t="s">
        <v>144</v>
      </c>
      <c r="C11" s="42">
        <v>-9.5200000000000007E-2</v>
      </c>
      <c r="D11" s="42">
        <v>-8.4500000000000006E-2</v>
      </c>
      <c r="E11" s="42">
        <v>0.1221</v>
      </c>
      <c r="F11" s="42">
        <v>0.32790000000000002</v>
      </c>
      <c r="H11" s="43">
        <v>99</v>
      </c>
      <c r="I11" s="43">
        <v>72.5</v>
      </c>
      <c r="J11" s="43">
        <v>94.5</v>
      </c>
      <c r="K11" s="43">
        <v>64.5</v>
      </c>
    </row>
    <row r="12" spans="2:11" x14ac:dyDescent="0.25">
      <c r="B12" s="41" t="s">
        <v>145</v>
      </c>
      <c r="C12" s="42">
        <v>2.5999999999999999E-2</v>
      </c>
      <c r="D12" s="44">
        <v>0</v>
      </c>
      <c r="E12" s="44">
        <v>0</v>
      </c>
      <c r="F12" s="44">
        <v>0</v>
      </c>
      <c r="H12" s="43">
        <v>84.5</v>
      </c>
      <c r="I12" s="43">
        <v>34.5</v>
      </c>
      <c r="J12" s="43">
        <v>75</v>
      </c>
      <c r="K12" s="43">
        <v>3.5</v>
      </c>
    </row>
    <row r="13" spans="2:11" x14ac:dyDescent="0.25">
      <c r="B13" s="41" t="s">
        <v>146</v>
      </c>
      <c r="C13" s="42">
        <v>-3.0000000000000001E-3</v>
      </c>
      <c r="D13" s="42">
        <v>-3.0000000000000001E-3</v>
      </c>
      <c r="E13" s="42">
        <v>-7.3000000000000001E-3</v>
      </c>
      <c r="F13" s="44">
        <v>0</v>
      </c>
      <c r="H13" s="43">
        <v>98.5</v>
      </c>
      <c r="I13" s="43">
        <v>71</v>
      </c>
      <c r="J13" s="43">
        <v>89</v>
      </c>
      <c r="K13" s="43">
        <v>27</v>
      </c>
    </row>
    <row r="14" spans="2:11" x14ac:dyDescent="0.25">
      <c r="B14" s="41" t="s">
        <v>147</v>
      </c>
      <c r="C14" s="42">
        <v>-2.46E-2</v>
      </c>
      <c r="D14" s="44">
        <v>0</v>
      </c>
      <c r="E14" s="44">
        <v>0</v>
      </c>
      <c r="F14" s="44">
        <v>0</v>
      </c>
      <c r="H14" s="43">
        <v>92.5</v>
      </c>
      <c r="I14" s="43">
        <v>48.5</v>
      </c>
      <c r="J14" s="43">
        <v>89.5</v>
      </c>
      <c r="K14" s="43">
        <v>11.5</v>
      </c>
    </row>
    <row r="15" spans="2:11" x14ac:dyDescent="0.25">
      <c r="B15" s="41" t="s">
        <v>148</v>
      </c>
      <c r="C15" s="42">
        <v>4.7000000000000002E-3</v>
      </c>
      <c r="D15" s="44">
        <v>0</v>
      </c>
      <c r="E15" s="42">
        <v>-7.6E-3</v>
      </c>
      <c r="F15" s="44">
        <v>0</v>
      </c>
      <c r="H15" s="43">
        <v>86.5</v>
      </c>
      <c r="I15" s="43">
        <v>9</v>
      </c>
      <c r="J15" s="43">
        <v>79</v>
      </c>
      <c r="K15" s="43">
        <v>1.5</v>
      </c>
    </row>
    <row r="17" spans="2:11" x14ac:dyDescent="0.25">
      <c r="B17" s="11" t="s">
        <v>149</v>
      </c>
      <c r="C17" s="11"/>
      <c r="D17" s="11"/>
      <c r="E17" s="11"/>
      <c r="F17" s="11"/>
      <c r="G17" s="11"/>
      <c r="H17" s="11"/>
      <c r="I17" s="11"/>
      <c r="J17" s="11"/>
      <c r="K17" s="11"/>
    </row>
    <row r="18" spans="2:11" ht="33.75" customHeight="1" x14ac:dyDescent="0.25">
      <c r="B18" s="18" t="s">
        <v>150</v>
      </c>
      <c r="C18" s="18" t="s">
        <v>151</v>
      </c>
      <c r="D18" s="18" t="s">
        <v>152</v>
      </c>
      <c r="E18" s="18" t="s">
        <v>153</v>
      </c>
      <c r="F18" s="18" t="s">
        <v>154</v>
      </c>
      <c r="G18" s="18" t="s">
        <v>155</v>
      </c>
      <c r="H18" s="18" t="s">
        <v>156</v>
      </c>
      <c r="I18" s="18" t="s">
        <v>157</v>
      </c>
      <c r="J18" s="18" t="s">
        <v>158</v>
      </c>
      <c r="K18" s="18" t="s">
        <v>101</v>
      </c>
    </row>
    <row r="19" spans="2:11" ht="30" customHeight="1" x14ac:dyDescent="0.25">
      <c r="B19" s="45" t="s">
        <v>135</v>
      </c>
      <c r="C19" s="46" t="s">
        <v>159</v>
      </c>
      <c r="D19" s="46">
        <v>10</v>
      </c>
      <c r="E19" s="47">
        <v>0.81200000000000006</v>
      </c>
      <c r="F19" s="47">
        <v>0.94</v>
      </c>
      <c r="G19" s="46" t="s">
        <v>160</v>
      </c>
      <c r="H19" s="48">
        <v>0.40799999999999997</v>
      </c>
      <c r="I19" s="48">
        <v>0.31</v>
      </c>
      <c r="J19" s="46" t="s">
        <v>161</v>
      </c>
      <c r="K19" s="46" t="s">
        <v>162</v>
      </c>
    </row>
    <row r="20" spans="2:11" ht="30" customHeight="1" x14ac:dyDescent="0.25">
      <c r="B20" s="45" t="s">
        <v>136</v>
      </c>
      <c r="C20" s="46" t="s">
        <v>163</v>
      </c>
      <c r="D20" s="46">
        <v>6</v>
      </c>
      <c r="E20" s="47">
        <v>0.68100000000000005</v>
      </c>
      <c r="F20" s="47">
        <v>0.80900000000000005</v>
      </c>
      <c r="G20" s="46" t="s">
        <v>164</v>
      </c>
      <c r="H20" s="48">
        <v>9.0999999999999998E-2</v>
      </c>
      <c r="I20" s="49">
        <v>-0.29899999999999999</v>
      </c>
      <c r="J20" s="46" t="s">
        <v>165</v>
      </c>
      <c r="K20" s="46" t="s">
        <v>166</v>
      </c>
    </row>
    <row r="21" spans="2:11" ht="30" customHeight="1" x14ac:dyDescent="0.25">
      <c r="B21" s="45" t="s">
        <v>137</v>
      </c>
      <c r="C21" s="46" t="s">
        <v>159</v>
      </c>
      <c r="D21" s="46">
        <v>6</v>
      </c>
      <c r="E21" s="48">
        <v>0.307</v>
      </c>
      <c r="F21" s="48">
        <v>0.47399999999999998</v>
      </c>
      <c r="G21" s="46" t="s">
        <v>167</v>
      </c>
      <c r="H21" s="49">
        <v>-1.024</v>
      </c>
      <c r="I21" s="49">
        <v>-5.3479999999999999</v>
      </c>
      <c r="J21" s="46" t="s">
        <v>168</v>
      </c>
      <c r="K21" s="46" t="s">
        <v>110</v>
      </c>
    </row>
    <row r="22" spans="2:11" ht="30" customHeight="1" x14ac:dyDescent="0.25">
      <c r="B22" s="45" t="s">
        <v>138</v>
      </c>
      <c r="C22" s="46" t="s">
        <v>163</v>
      </c>
      <c r="D22" s="46">
        <v>3</v>
      </c>
      <c r="E22" s="48">
        <v>0.154</v>
      </c>
      <c r="F22" s="48">
        <v>0.251</v>
      </c>
      <c r="G22" s="46" t="s">
        <v>169</v>
      </c>
      <c r="H22" s="49">
        <v>-0.79500000000000004</v>
      </c>
      <c r="I22" s="49">
        <v>-5.5540000000000003</v>
      </c>
      <c r="J22" s="46" t="s">
        <v>170</v>
      </c>
      <c r="K22" s="46" t="s">
        <v>110</v>
      </c>
    </row>
    <row r="24" spans="2:11" ht="18" customHeight="1" x14ac:dyDescent="0.25">
      <c r="B24" s="73" t="s">
        <v>171</v>
      </c>
      <c r="C24" s="73"/>
      <c r="D24" s="73"/>
      <c r="E24" s="73"/>
      <c r="F24" s="73"/>
      <c r="G24" s="73"/>
      <c r="H24" s="73"/>
      <c r="I24" s="73"/>
      <c r="J24" s="73"/>
      <c r="K24" s="73"/>
    </row>
    <row r="25" spans="2:11" ht="18" customHeight="1" x14ac:dyDescent="0.25">
      <c r="B25" s="73"/>
      <c r="C25" s="73"/>
      <c r="D25" s="73"/>
      <c r="E25" s="73"/>
      <c r="F25" s="73"/>
      <c r="G25" s="73"/>
      <c r="H25" s="73"/>
      <c r="I25" s="73"/>
      <c r="J25" s="73"/>
      <c r="K25" s="73"/>
    </row>
    <row r="26" spans="2:11" ht="18" customHeight="1" x14ac:dyDescent="0.25">
      <c r="B26" s="73"/>
      <c r="C26" s="73"/>
      <c r="D26" s="73"/>
      <c r="E26" s="73"/>
      <c r="F26" s="73"/>
      <c r="G26" s="73"/>
      <c r="H26" s="73"/>
      <c r="I26" s="73"/>
      <c r="J26" s="73"/>
      <c r="K26" s="73"/>
    </row>
    <row r="27" spans="2:11" ht="18" customHeight="1" x14ac:dyDescent="0.25">
      <c r="B27" s="73"/>
      <c r="C27" s="73"/>
      <c r="D27" s="73"/>
      <c r="E27" s="73"/>
      <c r="F27" s="73"/>
      <c r="G27" s="73"/>
      <c r="H27" s="73"/>
      <c r="I27" s="73"/>
      <c r="J27" s="73"/>
      <c r="K27" s="73"/>
    </row>
  </sheetData>
  <mergeCells count="6">
    <mergeCell ref="B24:K27"/>
    <mergeCell ref="B1:K1"/>
    <mergeCell ref="B2:K2"/>
    <mergeCell ref="B4:F4"/>
    <mergeCell ref="H4:K4"/>
    <mergeCell ref="B17:K17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zoomScaleNormal="100" workbookViewId="0"/>
  </sheetViews>
  <sheetFormatPr defaultColWidth="8.7109375" defaultRowHeight="15" x14ac:dyDescent="0.25"/>
  <cols>
    <col min="1" max="1" width="10" customWidth="1"/>
    <col min="2" max="3" width="12" customWidth="1"/>
    <col min="4" max="5" width="14" customWidth="1"/>
    <col min="6" max="6" width="3" customWidth="1"/>
    <col min="7" max="8" width="10" customWidth="1"/>
  </cols>
  <sheetData>
    <row r="1" spans="1:10" ht="24" x14ac:dyDescent="0.25">
      <c r="A1" s="50" t="s">
        <v>172</v>
      </c>
      <c r="B1" s="50" t="s">
        <v>173</v>
      </c>
      <c r="C1" s="50" t="s">
        <v>174</v>
      </c>
      <c r="D1" s="50" t="s">
        <v>175</v>
      </c>
      <c r="E1" s="50" t="s">
        <v>176</v>
      </c>
      <c r="G1" s="50" t="s">
        <v>73</v>
      </c>
      <c r="H1" s="50" t="s">
        <v>177</v>
      </c>
      <c r="J1" s="15" t="s">
        <v>178</v>
      </c>
    </row>
    <row r="2" spans="1:10" x14ac:dyDescent="0.25">
      <c r="A2" s="51">
        <v>0.01</v>
      </c>
      <c r="B2" s="52">
        <f>NORMSDIST(LN(A2/Calculator!$I$40)/Calculator!$D$30)</f>
        <v>4.4399103376362429E-19</v>
      </c>
      <c r="C2" s="52">
        <f>NORMSDIST(LN(A2/Calculator!$I$41)/Calculator!$D$30)</f>
        <v>5.0907329636873773E-27</v>
      </c>
      <c r="D2" s="52">
        <f>NORMSDIST(LN(A2/Calculator!$I$42)/Calculator!$D$30)</f>
        <v>5.6249354101561206E-38</v>
      </c>
      <c r="E2" s="52">
        <f>NORMSDIST(LN(A2/Calculator!$I$43)/Calculator!$D$30)</f>
        <v>4.7644730474160253E-44</v>
      </c>
      <c r="G2" s="51">
        <f>Calculator!$D$29</f>
        <v>0.25</v>
      </c>
      <c r="H2" s="51">
        <v>0</v>
      </c>
    </row>
    <row r="3" spans="1:10" x14ac:dyDescent="0.25">
      <c r="A3" s="51">
        <v>0.03</v>
      </c>
      <c r="B3" s="52">
        <f>NORMSDIST(LN(A3/Calculator!$I$40)/Calculator!$D$30)</f>
        <v>5.2423848192765052E-10</v>
      </c>
      <c r="C3" s="52">
        <f>NORMSDIST(LN(A3/Calculator!$I$41)/Calculator!$D$30)</f>
        <v>9.0704179016636023E-16</v>
      </c>
      <c r="D3" s="52">
        <f>NORMSDIST(LN(A3/Calculator!$I$42)/Calculator!$D$30)</f>
        <v>3.2950479494763655E-24</v>
      </c>
      <c r="E3" s="52">
        <f>NORMSDIST(LN(A3/Calculator!$I$43)/Calculator!$D$30)</f>
        <v>4.782543786902557E-29</v>
      </c>
      <c r="G3" s="51">
        <f>Calculator!$D$29</f>
        <v>0.25</v>
      </c>
      <c r="H3" s="51">
        <v>1</v>
      </c>
    </row>
    <row r="4" spans="1:10" x14ac:dyDescent="0.25">
      <c r="A4" s="51">
        <v>0.05</v>
      </c>
      <c r="B4" s="52">
        <f>NORMSDIST(LN(A4/Calculator!$I$40)/Calculator!$D$30)</f>
        <v>7.0076827292192858E-7</v>
      </c>
      <c r="C4" s="52">
        <f>NORMSDIST(LN(A4/Calculator!$I$41)/Calculator!$D$30)</f>
        <v>1.22464856666692E-11</v>
      </c>
      <c r="D4" s="52">
        <f>NORMSDIST(LN(A4/Calculator!$I$42)/Calculator!$D$30)</f>
        <v>6.5065679927490016E-19</v>
      </c>
      <c r="E4" s="52">
        <f>NORMSDIST(LN(A4/Calculator!$I$43)/Calculator!$D$30)</f>
        <v>3.5259474806923517E-23</v>
      </c>
    </row>
    <row r="5" spans="1:10" x14ac:dyDescent="0.25">
      <c r="A5" s="51">
        <v>7.0000000000000007E-2</v>
      </c>
      <c r="B5" s="52">
        <f>NORMSDIST(LN(A5/Calculator!$I$40)/Calculator!$D$30)</f>
        <v>3.3938768596932944E-5</v>
      </c>
      <c r="C5" s="52">
        <f>NORMSDIST(LN(A5/Calculator!$I$41)/Calculator!$D$30)</f>
        <v>2.6864418036713876E-9</v>
      </c>
      <c r="D5" s="52">
        <f>NORMSDIST(LN(A5/Calculator!$I$42)/Calculator!$D$30)</f>
        <v>8.2987319739935637E-16</v>
      </c>
      <c r="E5" s="52">
        <f>NORMSDIST(LN(A5/Calculator!$I$43)/Calculator!$D$30)</f>
        <v>1.0688965396016585E-19</v>
      </c>
    </row>
    <row r="6" spans="1:10" x14ac:dyDescent="0.25">
      <c r="A6" s="51">
        <v>0.09</v>
      </c>
      <c r="B6" s="52">
        <f>NORMSDIST(LN(A6/Calculator!$I$40)/Calculator!$D$30)</f>
        <v>3.9636705229280394E-4</v>
      </c>
      <c r="C6" s="52">
        <f>NORMSDIST(LN(A6/Calculator!$I$41)/Calculator!$D$30)</f>
        <v>9.6007968077317669E-8</v>
      </c>
      <c r="D6" s="52">
        <f>NORMSDIST(LN(A6/Calculator!$I$42)/Calculator!$D$30)</f>
        <v>1.0991017701402987E-13</v>
      </c>
      <c r="E6" s="52">
        <f>NORMSDIST(LN(A6/Calculator!$I$43)/Calculator!$D$30)</f>
        <v>2.6991060580211361E-17</v>
      </c>
    </row>
    <row r="7" spans="1:10" x14ac:dyDescent="0.25">
      <c r="A7" s="51">
        <v>0.11</v>
      </c>
      <c r="B7" s="52">
        <f>NORMSDIST(LN(A7/Calculator!$I$40)/Calculator!$D$30)</f>
        <v>2.1610561276947712E-3</v>
      </c>
      <c r="C7" s="52">
        <f>NORMSDIST(LN(A7/Calculator!$I$41)/Calculator!$D$30)</f>
        <v>1.2679079476420835E-6</v>
      </c>
      <c r="D7" s="52">
        <f>NORMSDIST(LN(A7/Calculator!$I$42)/Calculator!$D$30)</f>
        <v>4.1152518087571722E-12</v>
      </c>
      <c r="E7" s="52">
        <f>NORMSDIST(LN(A7/Calculator!$I$43)/Calculator!$D$30)</f>
        <v>1.6901250939558785E-15</v>
      </c>
    </row>
    <row r="8" spans="1:10" x14ac:dyDescent="0.25">
      <c r="A8" s="51">
        <v>0.13</v>
      </c>
      <c r="B8" s="52">
        <f>NORMSDIST(LN(A8/Calculator!$I$40)/Calculator!$D$30)</f>
        <v>7.4251901727059606E-3</v>
      </c>
      <c r="C8" s="52">
        <f>NORMSDIST(LN(A8/Calculator!$I$41)/Calculator!$D$30)</f>
        <v>9.0309646100984385E-6</v>
      </c>
      <c r="D8" s="52">
        <f>NORMSDIST(LN(A8/Calculator!$I$42)/Calculator!$D$30)</f>
        <v>6.9565425634119204E-11</v>
      </c>
      <c r="E8" s="52">
        <f>NORMSDIST(LN(A8/Calculator!$I$43)/Calculator!$D$30)</f>
        <v>4.3801031351899166E-14</v>
      </c>
    </row>
    <row r="9" spans="1:10" x14ac:dyDescent="0.25">
      <c r="A9" s="51">
        <v>0.15</v>
      </c>
      <c r="B9" s="52">
        <f>NORMSDIST(LN(A9/Calculator!$I$40)/Calculator!$D$30)</f>
        <v>1.8842925570949728E-2</v>
      </c>
      <c r="C9" s="52">
        <f>NORMSDIST(LN(A9/Calculator!$I$41)/Calculator!$D$30)</f>
        <v>4.2500968111727316E-5</v>
      </c>
      <c r="D9" s="52">
        <f>NORMSDIST(LN(A9/Calculator!$I$42)/Calculator!$D$30)</f>
        <v>6.8447249793357667E-10</v>
      </c>
      <c r="E9" s="52">
        <f>NORMSDIST(LN(A9/Calculator!$I$43)/Calculator!$D$30)</f>
        <v>6.2101974883965177E-13</v>
      </c>
    </row>
    <row r="10" spans="1:10" x14ac:dyDescent="0.25">
      <c r="A10" s="51">
        <v>0.17</v>
      </c>
      <c r="B10" s="52">
        <f>NORMSDIST(LN(A10/Calculator!$I$40)/Calculator!$D$30)</f>
        <v>3.875269531254142E-2</v>
      </c>
      <c r="C10" s="52">
        <f>NORMSDIST(LN(A10/Calculator!$I$41)/Calculator!$D$30)</f>
        <v>1.4905694544757074E-4</v>
      </c>
      <c r="D10" s="52">
        <f>NORMSDIST(LN(A10/Calculator!$I$42)/Calculator!$D$30)</f>
        <v>4.5640715018185144E-9</v>
      </c>
      <c r="E10" s="52">
        <f>NORMSDIST(LN(A10/Calculator!$I$43)/Calculator!$D$30)</f>
        <v>5.6965254470064717E-12</v>
      </c>
    </row>
    <row r="11" spans="1:10" x14ac:dyDescent="0.25">
      <c r="A11" s="51">
        <v>0.19</v>
      </c>
      <c r="B11" s="52">
        <f>NORMSDIST(LN(A11/Calculator!$I$40)/Calculator!$D$30)</f>
        <v>6.8469994410026921E-2</v>
      </c>
      <c r="C11" s="52">
        <f>NORMSDIST(LN(A11/Calculator!$I$41)/Calculator!$D$30)</f>
        <v>4.2060054471744431E-4</v>
      </c>
      <c r="D11" s="52">
        <f>NORMSDIST(LN(A11/Calculator!$I$42)/Calculator!$D$30)</f>
        <v>2.2742053382042157E-8</v>
      </c>
      <c r="E11" s="52">
        <f>NORMSDIST(LN(A11/Calculator!$I$43)/Calculator!$D$30)</f>
        <v>3.7665077104856167E-11</v>
      </c>
    </row>
    <row r="12" spans="1:10" x14ac:dyDescent="0.25">
      <c r="A12" s="51">
        <v>0.21</v>
      </c>
      <c r="B12" s="52">
        <f>NORMSDIST(LN(A12/Calculator!$I$40)/Calculator!$D$30)</f>
        <v>0.10802967413536903</v>
      </c>
      <c r="C12" s="52">
        <f>NORMSDIST(LN(A12/Calculator!$I$41)/Calculator!$D$30)</f>
        <v>1.0053044949838975E-3</v>
      </c>
      <c r="D12" s="52">
        <f>NORMSDIST(LN(A12/Calculator!$I$42)/Calculator!$D$30)</f>
        <v>9.0477371806870674E-8</v>
      </c>
      <c r="E12" s="52">
        <f>NORMSDIST(LN(A12/Calculator!$I$43)/Calculator!$D$30)</f>
        <v>1.9318949975467814E-10</v>
      </c>
    </row>
    <row r="13" spans="1:10" x14ac:dyDescent="0.25">
      <c r="A13" s="51">
        <v>0.23</v>
      </c>
      <c r="B13" s="52">
        <f>NORMSDIST(LN(A13/Calculator!$I$40)/Calculator!$D$30)</f>
        <v>0.15633263788289162</v>
      </c>
      <c r="C13" s="52">
        <f>NORMSDIST(LN(A13/Calculator!$I$41)/Calculator!$D$30)</f>
        <v>2.109995335360027E-3</v>
      </c>
      <c r="D13" s="52">
        <f>NORMSDIST(LN(A13/Calculator!$I$42)/Calculator!$D$30)</f>
        <v>3.0114854871143334E-7</v>
      </c>
      <c r="E13" s="52">
        <f>NORMSDIST(LN(A13/Calculator!$I$43)/Calculator!$D$30)</f>
        <v>8.0969468499397844E-10</v>
      </c>
    </row>
    <row r="14" spans="1:10" x14ac:dyDescent="0.25">
      <c r="A14" s="51">
        <v>0.25</v>
      </c>
      <c r="B14" s="52">
        <f>NORMSDIST(LN(A14/Calculator!$I$40)/Calculator!$D$30)</f>
        <v>0.2115104706945776</v>
      </c>
      <c r="C14" s="52">
        <f>NORMSDIST(LN(A14/Calculator!$I$41)/Calculator!$D$30)</f>
        <v>3.9916265656996614E-3</v>
      </c>
      <c r="D14" s="52">
        <f>NORMSDIST(LN(A14/Calculator!$I$42)/Calculator!$D$30)</f>
        <v>8.6769000842978456E-7</v>
      </c>
      <c r="E14" s="52">
        <f>NORMSDIST(LN(A14/Calculator!$I$43)/Calculator!$D$30)</f>
        <v>2.8805316760617817E-9</v>
      </c>
    </row>
    <row r="15" spans="1:10" x14ac:dyDescent="0.25">
      <c r="A15" s="51">
        <v>0.27</v>
      </c>
      <c r="B15" s="52">
        <f>NORMSDIST(LN(A15/Calculator!$I$40)/Calculator!$D$30)</f>
        <v>0.27133227289936523</v>
      </c>
      <c r="C15" s="52">
        <f>NORMSDIST(LN(A15/Calculator!$I$41)/Calculator!$D$30)</f>
        <v>6.9396020538466932E-3</v>
      </c>
      <c r="D15" s="52">
        <f>NORMSDIST(LN(A15/Calculator!$I$42)/Calculator!$D$30)</f>
        <v>2.2202417077324198E-6</v>
      </c>
      <c r="E15" s="52">
        <f>NORMSDIST(LN(A15/Calculator!$I$43)/Calculator!$D$30)</f>
        <v>8.9507423853330728E-9</v>
      </c>
    </row>
    <row r="16" spans="1:10" x14ac:dyDescent="0.25">
      <c r="A16" s="51">
        <v>0.28999999999999998</v>
      </c>
      <c r="B16" s="52">
        <f>NORMSDIST(LN(A16/Calculator!$I$40)/Calculator!$D$30)</f>
        <v>0.33354645566422303</v>
      </c>
      <c r="C16" s="52">
        <f>NORMSDIST(LN(A16/Calculator!$I$41)/Calculator!$D$30)</f>
        <v>1.1252724024604952E-2</v>
      </c>
      <c r="D16" s="52">
        <f>NORMSDIST(LN(A16/Calculator!$I$42)/Calculator!$D$30)</f>
        <v>5.1453078769509112E-6</v>
      </c>
      <c r="E16" s="52">
        <f>NORMSDIST(LN(A16/Calculator!$I$43)/Calculator!$D$30)</f>
        <v>2.4833314433335163E-8</v>
      </c>
    </row>
    <row r="17" spans="1:5" x14ac:dyDescent="0.25">
      <c r="A17" s="51">
        <v>0.31</v>
      </c>
      <c r="B17" s="52">
        <f>NORMSDIST(LN(A17/Calculator!$I$40)/Calculator!$D$30)</f>
        <v>0.39611621618808546</v>
      </c>
      <c r="C17" s="52">
        <f>NORMSDIST(LN(A17/Calculator!$I$41)/Calculator!$D$30)</f>
        <v>1.721502409007427E-2</v>
      </c>
      <c r="D17" s="52">
        <f>NORMSDIST(LN(A17/Calculator!$I$42)/Calculator!$D$30)</f>
        <v>1.0966450127372424E-5</v>
      </c>
      <c r="E17" s="52">
        <f>NORMSDIST(LN(A17/Calculator!$I$43)/Calculator!$D$30)</f>
        <v>6.2588080384661157E-8</v>
      </c>
    </row>
    <row r="18" spans="1:5" x14ac:dyDescent="0.25">
      <c r="A18" s="51">
        <v>0.33</v>
      </c>
      <c r="B18" s="52">
        <f>NORMSDIST(LN(A18/Calculator!$I$40)/Calculator!$D$30)</f>
        <v>0.45735010365930984</v>
      </c>
      <c r="C18" s="52">
        <f>NORMSDIST(LN(A18/Calculator!$I$41)/Calculator!$D$30)</f>
        <v>2.5074086853903638E-2</v>
      </c>
      <c r="D18" s="52">
        <f>NORMSDIST(LN(A18/Calculator!$I$42)/Calculator!$D$30)</f>
        <v>2.1760493503753601E-5</v>
      </c>
      <c r="E18" s="52">
        <f>NORMSDIST(LN(A18/Calculator!$I$43)/Calculator!$D$30)</f>
        <v>1.4527917326563229E-7</v>
      </c>
    </row>
    <row r="19" spans="1:5" x14ac:dyDescent="0.25">
      <c r="A19" s="51">
        <v>0.35</v>
      </c>
      <c r="B19" s="52">
        <f>NORMSDIST(LN(A19/Calculator!$I$40)/Calculator!$D$30)</f>
        <v>0.51594919187456934</v>
      </c>
      <c r="C19" s="52">
        <f>NORMSDIST(LN(A19/Calculator!$I$41)/Calculator!$D$30)</f>
        <v>3.5024269618743949E-2</v>
      </c>
      <c r="D19" s="52">
        <f>NORMSDIST(LN(A19/Calculator!$I$42)/Calculator!$D$30)</f>
        <v>4.0597623360535287E-5</v>
      </c>
      <c r="E19" s="52">
        <f>NORMSDIST(LN(A19/Calculator!$I$43)/Calculator!$D$30)</f>
        <v>3.1405220505298306E-7</v>
      </c>
    </row>
    <row r="20" spans="1:5" x14ac:dyDescent="0.25">
      <c r="A20" s="51">
        <v>0.37</v>
      </c>
      <c r="B20" s="52">
        <f>NORMSDIST(LN(A20/Calculator!$I$40)/Calculator!$D$30)</f>
        <v>0.57099737679895068</v>
      </c>
      <c r="C20" s="52">
        <f>NORMSDIST(LN(A20/Calculator!$I$41)/Calculator!$D$30)</f>
        <v>4.719593758638909E-2</v>
      </c>
      <c r="D20" s="52">
        <f>NORMSDIST(LN(A20/Calculator!$I$42)/Calculator!$D$30)</f>
        <v>7.1789579978770169E-5</v>
      </c>
      <c r="E20" s="52">
        <f>NORMSDIST(LN(A20/Calculator!$I$43)/Calculator!$D$30)</f>
        <v>6.380365930610726E-7</v>
      </c>
    </row>
    <row r="21" spans="1:5" x14ac:dyDescent="0.25">
      <c r="A21" s="51">
        <v>0.39</v>
      </c>
      <c r="B21" s="52">
        <f>NORMSDIST(LN(A21/Calculator!$I$40)/Calculator!$D$30)</f>
        <v>0.62191848288004592</v>
      </c>
      <c r="C21" s="52">
        <f>NORMSDIST(LN(A21/Calculator!$I$41)/Calculator!$D$30)</f>
        <v>6.1650761888985738E-2</v>
      </c>
      <c r="D21" s="52">
        <f>NORMSDIST(LN(A21/Calculator!$I$42)/Calculator!$D$30)</f>
        <v>1.2112798318100716E-4</v>
      </c>
      <c r="E21" s="52">
        <f>NORMSDIST(LN(A21/Calculator!$I$43)/Calculator!$D$30)</f>
        <v>1.2274790506309664E-6</v>
      </c>
    </row>
    <row r="22" spans="1:5" x14ac:dyDescent="0.25">
      <c r="A22" s="51">
        <v>0.41</v>
      </c>
      <c r="B22" s="52">
        <f>NORMSDIST(LN(A22/Calculator!$I$40)/Calculator!$D$30)</f>
        <v>0.66841814196187044</v>
      </c>
      <c r="C22" s="52">
        <f>NORMSDIST(LN(A22/Calculator!$I$41)/Calculator!$D$30)</f>
        <v>7.8382385488653589E-2</v>
      </c>
      <c r="D22" s="52">
        <f>NORMSDIST(LN(A22/Calculator!$I$42)/Calculator!$D$30)</f>
        <v>1.9609476784356991E-4</v>
      </c>
      <c r="E22" s="52">
        <f>NORMSDIST(LN(A22/Calculator!$I$43)/Calculator!$D$30)</f>
        <v>2.2503581814061874E-6</v>
      </c>
    </row>
    <row r="23" spans="1:5" x14ac:dyDescent="0.25">
      <c r="A23" s="51">
        <v>0.43</v>
      </c>
      <c r="B23" s="52">
        <f>NORMSDIST(LN(A23/Calculator!$I$40)/Calculator!$D$30)</f>
        <v>0.71042252123693006</v>
      </c>
      <c r="C23" s="52">
        <f>NORMSDIST(LN(A23/Calculator!$I$41)/Calculator!$D$30)</f>
        <v>9.7321350150342753E-2</v>
      </c>
      <c r="D23" s="52">
        <f>NORMSDIST(LN(A23/Calculator!$I$42)/Calculator!$D$30)</f>
        <v>3.0602855332111383E-4</v>
      </c>
      <c r="E23" s="52">
        <f>NORMSDIST(LN(A23/Calculator!$I$43)/Calculator!$D$30)</f>
        <v>3.9525320006173912E-6</v>
      </c>
    </row>
    <row r="24" spans="1:5" x14ac:dyDescent="0.25">
      <c r="A24" s="51">
        <v>0.45</v>
      </c>
      <c r="B24" s="52">
        <f>NORMSDIST(LN(A24/Calculator!$I$40)/Calculator!$D$30)</f>
        <v>0.74802110029986923</v>
      </c>
      <c r="C24" s="52">
        <f>NORMSDIST(LN(A24/Calculator!$I$41)/Calculator!$D$30)</f>
        <v>0.11834303601407235</v>
      </c>
      <c r="D24" s="52">
        <f>NORMSDIST(LN(A24/Calculator!$I$42)/Calculator!$D$30)</f>
        <v>4.6223404799593899E-4</v>
      </c>
      <c r="E24" s="52">
        <f>NORMSDIST(LN(A24/Calculator!$I$43)/Calculator!$D$30)</f>
        <v>6.6812492746035494E-6</v>
      </c>
    </row>
    <row r="25" spans="1:5" x14ac:dyDescent="0.25">
      <c r="A25" s="51">
        <v>0.47</v>
      </c>
      <c r="B25" s="52">
        <f>NORMSDIST(LN(A25/Calculator!$I$40)/Calculator!$D$30)</f>
        <v>0.78141713432857263</v>
      </c>
      <c r="C25" s="52">
        <f>NORMSDIST(LN(A25/Calculator!$I$41)/Calculator!$D$30)</f>
        <v>0.1412774133655309</v>
      </c>
      <c r="D25" s="52">
        <f>NORMSDIST(LN(A25/Calculator!$I$42)/Calculator!$D$30)</f>
        <v>6.7802574998142653E-4</v>
      </c>
      <c r="E25" s="52">
        <f>NORMSDIST(LN(A25/Calculator!$I$43)/Calculator!$D$30)</f>
        <v>1.0911632425986937E-5</v>
      </c>
    </row>
    <row r="26" spans="1:5" x14ac:dyDescent="0.25">
      <c r="A26" s="51">
        <v>0.49</v>
      </c>
      <c r="B26" s="52">
        <f>NORMSDIST(LN(A26/Calculator!$I$40)/Calculator!$D$30)</f>
        <v>0.8108870773380128</v>
      </c>
      <c r="C26" s="52">
        <f>NORMSDIST(LN(A26/Calculator!$I$41)/Calculator!$D$30)</f>
        <v>0.16591956772862421</v>
      </c>
      <c r="D26" s="52">
        <f>NORMSDIST(LN(A26/Calculator!$I$42)/Calculator!$D$30)</f>
        <v>9.6870170028020446E-4</v>
      </c>
      <c r="E26" s="52">
        <f>NORMSDIST(LN(A26/Calculator!$I$43)/Calculator!$D$30)</f>
        <v>1.7275533607212923E-5</v>
      </c>
    </row>
    <row r="27" spans="1:5" x14ac:dyDescent="0.25">
      <c r="A27" s="51">
        <v>0.51</v>
      </c>
      <c r="B27" s="52">
        <f>NORMSDIST(LN(A27/Calculator!$I$40)/Calculator!$D$30)</f>
        <v>0.83674881582530058</v>
      </c>
      <c r="C27" s="52">
        <f>NORMSDIST(LN(A27/Calculator!$I$41)/Calculator!$D$30)</f>
        <v>0.19204017329546139</v>
      </c>
      <c r="D27" s="52">
        <f>NORMSDIST(LN(A27/Calculator!$I$42)/Calculator!$D$30)</f>
        <v>1.3514474078986092E-3</v>
      </c>
      <c r="E27" s="52">
        <f>NORMSDIST(LN(A27/Calculator!$I$43)/Calculator!$D$30)</f>
        <v>2.6591992205800861E-5</v>
      </c>
    </row>
    <row r="28" spans="1:5" x14ac:dyDescent="0.25">
      <c r="A28" s="51">
        <v>0.53</v>
      </c>
      <c r="B28" s="52">
        <f>NORMSDIST(LN(A28/Calculator!$I$40)/Calculator!$D$30)</f>
        <v>0.85933780617009248</v>
      </c>
      <c r="C28" s="52">
        <f>NORMSDIST(LN(A28/Calculator!$I$41)/Calculator!$D$30)</f>
        <v>0.21939531285575786</v>
      </c>
      <c r="D28" s="52">
        <f>NORMSDIST(LN(A28/Calculator!$I$42)/Calculator!$D$30)</f>
        <v>1.8451739450708634E-3</v>
      </c>
      <c r="E28" s="52">
        <f>NORMSDIST(LN(A28/Calculator!$I$43)/Calculator!$D$30)</f>
        <v>3.9898392761523442E-5</v>
      </c>
    </row>
    <row r="29" spans="1:5" x14ac:dyDescent="0.25">
      <c r="A29" s="51">
        <v>0.55000000000000004</v>
      </c>
      <c r="B29" s="52">
        <f>NORMSDIST(LN(A29/Calculator!$I$40)/Calculator!$D$30)</f>
        <v>0.87898988930631849</v>
      </c>
      <c r="C29" s="52">
        <f>NORMSDIST(LN(A29/Calculator!$I$41)/Calculator!$D$30)</f>
        <v>0.24773524795708496</v>
      </c>
      <c r="D29" s="52">
        <f>NORMSDIST(LN(A29/Calculator!$I$42)/Calculator!$D$30)</f>
        <v>2.4702973766706502E-3</v>
      </c>
      <c r="E29" s="52">
        <f>NORMSDIST(LN(A29/Calculator!$I$43)/Calculator!$D$30)</f>
        <v>5.848134337961463E-5</v>
      </c>
    </row>
    <row r="30" spans="1:5" x14ac:dyDescent="0.25">
      <c r="A30" s="51">
        <v>0.56999999999999995</v>
      </c>
      <c r="B30" s="52">
        <f>NORMSDIST(LN(A30/Calculator!$I$40)/Calculator!$D$30)</f>
        <v>0.89602950117074409</v>
      </c>
      <c r="C30" s="52">
        <f>NORMSDIST(LN(A30/Calculator!$I$41)/Calculator!$D$30)</f>
        <v>0.27681191697816376</v>
      </c>
      <c r="D30" s="52">
        <f>NORMSDIST(LN(A30/Calculator!$I$42)/Calculator!$D$30)</f>
        <v>3.2484690278901896E-3</v>
      </c>
      <c r="E30" s="52">
        <f>NORMSDIST(LN(A30/Calculator!$I$43)/Calculator!$D$30)</f>
        <v>8.3906267880258387E-5</v>
      </c>
    </row>
    <row r="31" spans="1:5" x14ac:dyDescent="0.25">
      <c r="A31" s="51">
        <v>0.59</v>
      </c>
      <c r="B31" s="52">
        <f>NORMSDIST(LN(A31/Calculator!$I$40)/Calculator!$D$30)</f>
        <v>0.91076208776692202</v>
      </c>
      <c r="C31" s="52">
        <f>NORMSDIST(LN(A31/Calculator!$I$41)/Calculator!$D$30)</f>
        <v>0.30638507612179688</v>
      </c>
      <c r="D31" s="52">
        <f>NORMSDIST(LN(A31/Calculator!$I$42)/Calculator!$D$30)</f>
        <v>4.2022675902585E-3</v>
      </c>
      <c r="E31" s="52">
        <f>NORMSDIST(LN(A31/Calculator!$I$43)/Calculator!$D$30)</f>
        <v>1.1804472780753274E-4</v>
      </c>
    </row>
    <row r="32" spans="1:5" x14ac:dyDescent="0.25">
      <c r="A32" s="51">
        <v>0.61</v>
      </c>
      <c r="B32" s="52">
        <f>NORMSDIST(LN(A32/Calculator!$I$40)/Calculator!$D$30)</f>
        <v>0.92346969174110605</v>
      </c>
      <c r="C32" s="52">
        <f>NORMSDIST(LN(A32/Calculator!$I$41)/Calculator!$D$30)</f>
        <v>0.33622709978484511</v>
      </c>
      <c r="D32" s="52">
        <f>NORMSDIST(LN(A32/Calculator!$I$42)/Calculator!$D$30)</f>
        <v>5.3548647709767035E-3</v>
      </c>
      <c r="E32" s="52">
        <f>NORMSDIST(LN(A32/Calculator!$I$43)/Calculator!$D$30)</f>
        <v>1.6309855761902664E-4</v>
      </c>
    </row>
    <row r="33" spans="1:5" x14ac:dyDescent="0.25">
      <c r="A33" s="51">
        <v>0.63</v>
      </c>
      <c r="B33" s="52">
        <f>NORMSDIST(LN(A33/Calculator!$I$40)/Calculator!$D$30)</f>
        <v>0.93440885595578127</v>
      </c>
      <c r="C33" s="52">
        <f>NORMSDIST(LN(A33/Calculator!$I$41)/Calculator!$D$30)</f>
        <v>0.3661265263238937</v>
      </c>
      <c r="D33" s="52">
        <f>NORMSDIST(LN(A33/Calculator!$I$42)/Calculator!$D$30)</f>
        <v>6.7296762044066127E-3</v>
      </c>
      <c r="E33" s="52">
        <f>NORMSDIST(LN(A33/Calculator!$I$43)/Calculator!$D$30)</f>
        <v>2.2162000036948871E-4</v>
      </c>
    </row>
    <row r="34" spans="1:5" x14ac:dyDescent="0.25">
      <c r="A34" s="51">
        <v>0.65</v>
      </c>
      <c r="B34" s="52">
        <f>NORMSDIST(LN(A34/Calculator!$I$40)/Calculator!$D$30)</f>
        <v>0.94381016220350045</v>
      </c>
      <c r="C34" s="52">
        <f>NORMSDIST(LN(A34/Calculator!$I$41)/Calculator!$D$30)</f>
        <v>0.39589047833739793</v>
      </c>
      <c r="D34" s="52">
        <f>NORMSDIST(LN(A34/Calculator!$I$42)/Calculator!$D$30)</f>
        <v>8.3500087934446025E-3</v>
      </c>
      <c r="E34" s="52">
        <f>NORMSDIST(LN(A34/Calculator!$I$43)/Calculator!$D$30)</f>
        <v>2.9652716328987309E-4</v>
      </c>
    </row>
    <row r="35" spans="1:5" x14ac:dyDescent="0.25">
      <c r="A35" s="51">
        <v>0.67</v>
      </c>
      <c r="B35" s="52">
        <f>NORMSDIST(LN(A35/Calculator!$I$40)/Calculator!$D$30)</f>
        <v>0.95187887683148709</v>
      </c>
      <c r="C35" s="52">
        <f>NORMSDIST(LN(A35/Calculator!$I$41)/Calculator!$D$30)</f>
        <v>0.42534610894902369</v>
      </c>
      <c r="D35" s="52">
        <f>NORMSDIST(LN(A35/Calculator!$I$42)/Calculator!$D$30)</f>
        <v>1.0238714667621563E-2</v>
      </c>
      <c r="E35" s="52">
        <f>NORMSDIST(LN(A35/Calculator!$I$43)/Calculator!$D$30)</f>
        <v>3.9111426378470217E-4</v>
      </c>
    </row>
    <row r="36" spans="1:5" x14ac:dyDescent="0.25">
      <c r="A36" s="51">
        <v>0.69</v>
      </c>
      <c r="B36" s="52">
        <f>NORMSDIST(LN(A36/Calculator!$I$40)/Calculator!$D$30)</f>
        <v>0.95879630469545718</v>
      </c>
      <c r="C36" s="52">
        <f>NORMSDIST(LN(A36/Calculator!$I$41)/Calculator!$D$30)</f>
        <v>0.45434123253630554</v>
      </c>
      <c r="D36" s="52">
        <f>NORMSDIST(LN(A36/Calculator!$I$42)/Calculator!$D$30)</f>
        <v>1.2417860665799885E-2</v>
      </c>
      <c r="E36" s="52">
        <f>NORMSDIST(LN(A36/Calculator!$I$43)/Calculator!$D$30)</f>
        <v>5.0905629775295947E-4</v>
      </c>
    </row>
    <row r="37" spans="1:5" x14ac:dyDescent="0.25">
      <c r="A37" s="51">
        <v>0.71</v>
      </c>
      <c r="B37" s="52">
        <f>NORMSDIST(LN(A37/Calculator!$I$40)/Calculator!$D$30)</f>
        <v>0.9647215582191031</v>
      </c>
      <c r="C37" s="52">
        <f>NORMSDIST(LN(A37/Calculator!$I$41)/Calculator!$D$30)</f>
        <v>0.48274429450991846</v>
      </c>
      <c r="D37" s="52">
        <f>NORMSDIST(LN(A37/Calculator!$I$42)/Calculator!$D$30)</f>
        <v>1.4908420794094483E-2</v>
      </c>
      <c r="E37" s="52">
        <f>NORMSDIST(LN(A37/Calculator!$I$43)/Calculator!$D$30)</f>
        <v>6.5440792578062693E-4</v>
      </c>
    </row>
    <row r="38" spans="1:5" x14ac:dyDescent="0.25">
      <c r="A38" s="51">
        <v>0.73</v>
      </c>
      <c r="B38" s="52">
        <f>NORMSDIST(LN(A38/Calculator!$I$40)/Calculator!$D$30)</f>
        <v>0.96979353148615488</v>
      </c>
      <c r="C38" s="52">
        <f>NORMSDIST(LN(A38/Calculator!$I$41)/Calculator!$D$30)</f>
        <v>0.5104438238711152</v>
      </c>
      <c r="D38" s="52">
        <f>NORMSDIST(LN(A38/Calculator!$I$42)/Calculator!$D$30)</f>
        <v>1.772999757705827E-2</v>
      </c>
      <c r="E38" s="52">
        <f>NORMSDIST(LN(A38/Calculator!$I$43)/Calculator!$D$30)</f>
        <v>8.3159653174812555E-4</v>
      </c>
    </row>
    <row r="39" spans="1:5" x14ac:dyDescent="0.25">
      <c r="A39" s="51">
        <v>0.75</v>
      </c>
      <c r="B39" s="52">
        <f>NORMSDIST(LN(A39/Calculator!$I$40)/Calculator!$D$30)</f>
        <v>0.97413293333760165</v>
      </c>
      <c r="C39" s="52">
        <f>NORMSDIST(LN(A39/Calculator!$I$41)/Calculator!$D$30)</f>
        <v>0.53734749728446052</v>
      </c>
      <c r="D39" s="52">
        <f>NORMSDIST(LN(A39/Calculator!$I$42)/Calculator!$D$30)</f>
        <v>2.0900576696110059E-2</v>
      </c>
      <c r="E39" s="52">
        <f>NORMSDIST(LN(A39/Calculator!$I$43)/Calculator!$D$30)</f>
        <v>1.0454095571021591E-3</v>
      </c>
    </row>
    <row r="40" spans="1:5" x14ac:dyDescent="0.25">
      <c r="A40" s="51">
        <v>0.77</v>
      </c>
      <c r="B40" s="52">
        <f>NORMSDIST(LN(A40/Calculator!$I$40)/Calculator!$D$30)</f>
        <v>0.97784428171917293</v>
      </c>
      <c r="C40" s="52">
        <f>NORMSDIST(LN(A40/Calculator!$I$41)/Calculator!$D$30)</f>
        <v>0.56338092647857296</v>
      </c>
      <c r="D40" s="52">
        <f>NORMSDIST(LN(A40/Calculator!$I$42)/Calculator!$D$30)</f>
        <v>2.4436317858247611E-2</v>
      </c>
      <c r="E40" s="52">
        <f>NORMSDIST(LN(A40/Calculator!$I$43)/Calculator!$D$30)</f>
        <v>1.3009763481409539E-3</v>
      </c>
    </row>
    <row r="41" spans="1:5" x14ac:dyDescent="0.25">
      <c r="A41" s="51">
        <v>0.79</v>
      </c>
      <c r="B41" s="52">
        <f>NORMSDIST(LN(A41/Calculator!$I$40)/Calculator!$D$30)</f>
        <v>0.98101779716385651</v>
      </c>
      <c r="C41" s="52">
        <f>NORMSDIST(LN(A41/Calculator!$I$41)/Calculator!$D$30)</f>
        <v>0.58848626347718502</v>
      </c>
      <c r="D41" s="52">
        <f>NORMSDIST(LN(A41/Calculator!$I$42)/Calculator!$D$30)</f>
        <v>2.8351383506821929E-2</v>
      </c>
      <c r="E41" s="52">
        <f>NORMSDIST(LN(A41/Calculator!$I$43)/Calculator!$D$30)</f>
        <v>1.6037448701261296E-3</v>
      </c>
    </row>
    <row r="42" spans="1:5" x14ac:dyDescent="0.25">
      <c r="A42" s="51">
        <v>0.81</v>
      </c>
      <c r="B42" s="52">
        <f>NORMSDIST(LN(A42/Calculator!$I$40)/Calculator!$D$30)</f>
        <v>0.98373115905649844</v>
      </c>
      <c r="C42" s="52">
        <f>NORMSDIST(LN(A42/Calculator!$I$41)/Calculator!$D$30)</f>
        <v>0.61262070150664638</v>
      </c>
      <c r="D42" s="52">
        <f>NORMSDIST(LN(A42/Calculator!$I$42)/Calculator!$D$30)</f>
        <v>3.265780580504743E-2</v>
      </c>
      <c r="E42" s="52">
        <f>NORMSDIST(LN(A42/Calculator!$I$43)/Calculator!$D$30)</f>
        <v>1.959453739023407E-3</v>
      </c>
    </row>
    <row r="43" spans="1:5" x14ac:dyDescent="0.25">
      <c r="A43" s="51">
        <v>0.83</v>
      </c>
      <c r="B43" s="52">
        <f>NORMSDIST(LN(A43/Calculator!$I$40)/Calculator!$D$30)</f>
        <v>0.98605110652159267</v>
      </c>
      <c r="C43" s="52">
        <f>NORMSDIST(LN(A43/Calculator!$I$41)/Calculator!$D$30)</f>
        <v>0.63575493407143358</v>
      </c>
      <c r="D43" s="52">
        <f>NORMSDIST(LN(A43/Calculator!$I$42)/Calculator!$D$30)</f>
        <v>3.7365391308892999E-2</v>
      </c>
      <c r="E43" s="52">
        <f>NORMSDIST(LN(A43/Calculator!$I$43)/Calculator!$D$30)</f>
        <v>2.3741000983956554E-3</v>
      </c>
    </row>
    <row r="44" spans="1:5" x14ac:dyDescent="0.25">
      <c r="A44" s="51">
        <v>0.85</v>
      </c>
      <c r="B44" s="52">
        <f>NORMSDIST(LN(A44/Calculator!$I$40)/Calculator!$D$30)</f>
        <v>0.98803487827445058</v>
      </c>
      <c r="C44" s="52">
        <f>NORMSDIST(LN(A44/Calculator!$I$41)/Calculator!$D$30)</f>
        <v>0.65787162099093643</v>
      </c>
      <c r="D44" s="52">
        <f>NORMSDIST(LN(A44/Calculator!$I$42)/Calculator!$D$30)</f>
        <v>4.2481661904919962E-2</v>
      </c>
      <c r="E44" s="52">
        <f>NORMSDIST(LN(A44/Calculator!$I$43)/Calculator!$D$30)</f>
        <v>2.8539039255156403E-3</v>
      </c>
    </row>
    <row r="45" spans="1:5" x14ac:dyDescent="0.25">
      <c r="A45" s="51">
        <v>0.87</v>
      </c>
      <c r="B45" s="52">
        <f>NORMSDIST(LN(A45/Calculator!$I$40)/Calculator!$D$30)</f>
        <v>0.98973149406255778</v>
      </c>
      <c r="C45" s="52">
        <f>NORMSDIST(LN(A45/Calculator!$I$41)/Calculator!$D$30)</f>
        <v>0.67896389829357462</v>
      </c>
      <c r="D45" s="52">
        <f>NORMSDIST(LN(A45/Calculator!$I$42)/Calculator!$D$30)</f>
        <v>4.8011829917835064E-2</v>
      </c>
      <c r="E45" s="52">
        <f>NORMSDIST(LN(A45/Calculator!$I$43)/Calculator!$D$30)</f>
        <v>3.4052693879331099E-3</v>
      </c>
    </row>
    <row r="46" spans="1:5" x14ac:dyDescent="0.25">
      <c r="A46" s="51">
        <v>0.89</v>
      </c>
      <c r="B46" s="52">
        <f>NORMSDIST(LN(A46/Calculator!$I$40)/Calculator!$D$30)</f>
        <v>0.99118288554814005</v>
      </c>
      <c r="C46" s="52">
        <f>NORMSDIST(LN(A46/Calculator!$I$41)/Calculator!$D$30)</f>
        <v>0.69903395876907148</v>
      </c>
      <c r="D46" s="52">
        <f>NORMSDIST(LN(A46/Calculator!$I$42)/Calculator!$D$30)</f>
        <v>5.3958804783047404E-2</v>
      </c>
      <c r="E46" s="52">
        <f>NORMSDIST(LN(A46/Calculator!$I$43)/Calculator!$D$30)</f>
        <v>4.0347438908668858E-3</v>
      </c>
    </row>
    <row r="47" spans="1:5" x14ac:dyDescent="0.25">
      <c r="A47" s="51">
        <v>0.91</v>
      </c>
      <c r="B47" s="52">
        <f>NORMSDIST(LN(A47/Calculator!$I$40)/Calculator!$D$30)</f>
        <v>0.99242488752194524</v>
      </c>
      <c r="C47" s="52">
        <f>NORMSDIST(LN(A47/Calculator!$I$41)/Calculator!$D$30)</f>
        <v>0.7180917215942717</v>
      </c>
      <c r="D47" s="52">
        <f>NORMSDIST(LN(A47/Calculator!$I$42)/Calculator!$D$30)</f>
        <v>6.0323228318062791E-2</v>
      </c>
      <c r="E47" s="52">
        <f>NORMSDIST(LN(A47/Calculator!$I$43)/Calculator!$D$30)</f>
        <v>4.748975458628628E-3</v>
      </c>
    </row>
    <row r="48" spans="1:5" x14ac:dyDescent="0.25">
      <c r="A48" s="51">
        <v>0.93</v>
      </c>
      <c r="B48" s="52">
        <f>NORMSDIST(LN(A48/Calculator!$I$40)/Calculator!$D$30)</f>
        <v>0.99348810185090608</v>
      </c>
      <c r="C48" s="52">
        <f>NORMSDIST(LN(A48/Calculator!$I$41)/Calculator!$D$30)</f>
        <v>0.73615360262478902</v>
      </c>
      <c r="D48" s="52">
        <f>NORMSDIST(LN(A48/Calculator!$I$42)/Calculator!$D$30)</f>
        <v>6.7103535397150013E-2</v>
      </c>
      <c r="E48" s="52">
        <f>NORMSDIST(LN(A48/Calculator!$I$43)/Calculator!$D$30)</f>
        <v>5.5546690818030625E-3</v>
      </c>
    </row>
    <row r="49" spans="1:5" x14ac:dyDescent="0.25">
      <c r="A49" s="51">
        <v>0.95</v>
      </c>
      <c r="B49" s="52">
        <f>NORMSDIST(LN(A49/Calculator!$I$40)/Calculator!$D$30)</f>
        <v>0.99439864703652048</v>
      </c>
      <c r="C49" s="52">
        <f>NORMSDIST(LN(A49/Calculator!$I$41)/Calculator!$D$30)</f>
        <v>0.75324139150857095</v>
      </c>
      <c r="D49" s="52">
        <f>NORMSDIST(LN(A49/Calculator!$I$42)/Calculator!$D$30)</f>
        <v>7.4296036719038047E-2</v>
      </c>
      <c r="E49" s="52">
        <f>NORMSDIST(LN(A49/Calculator!$I$43)/Calculator!$D$30)</f>
        <v>6.4585426382205201E-3</v>
      </c>
    </row>
    <row r="50" spans="1:5" x14ac:dyDescent="0.25">
      <c r="A50" s="51">
        <v>0.97</v>
      </c>
      <c r="B50" s="52">
        <f>NORMSDIST(LN(A50/Calculator!$I$40)/Calculator!$D$30)</f>
        <v>0.9951788060525053</v>
      </c>
      <c r="C50" s="52">
        <f>NORMSDIST(LN(A50/Calculator!$I$41)/Calculator!$D$30)</f>
        <v>0.76938123754375176</v>
      </c>
      <c r="D50" s="52">
        <f>NORMSDIST(LN(A50/Calculator!$I$42)/Calculator!$D$30)</f>
        <v>8.1895020339817146E-2</v>
      </c>
      <c r="E50" s="52">
        <f>NORMSDIST(LN(A50/Calculator!$I$43)/Calculator!$D$30)</f>
        <v>7.46728296200346E-3</v>
      </c>
    </row>
    <row r="51" spans="1:5" x14ac:dyDescent="0.25">
      <c r="A51" s="51">
        <v>0.99</v>
      </c>
      <c r="B51" s="52">
        <f>NORMSDIST(LN(A51/Calculator!$I$40)/Calculator!$D$30)</f>
        <v>0.99584758449541377</v>
      </c>
      <c r="C51" s="52">
        <f>NORMSDIST(LN(A51/Calculator!$I$41)/Calculator!$D$30)</f>
        <v>0.78460274299117982</v>
      </c>
      <c r="D51" s="52">
        <f>NORMSDIST(LN(A51/Calculator!$I$42)/Calculator!$D$30)</f>
        <v>8.9892868705533618E-2</v>
      </c>
      <c r="E51" s="52">
        <f>NORMSDIST(LN(A51/Calculator!$I$43)/Calculator!$D$30)</f>
        <v>8.5875025932455711E-3</v>
      </c>
    </row>
    <row r="52" spans="1:5" x14ac:dyDescent="0.25">
      <c r="A52" s="51">
        <v>1.01</v>
      </c>
      <c r="B52" s="52">
        <f>NORMSDIST(LN(A52/Calculator!$I$40)/Calculator!$D$30)</f>
        <v>0.99642119020122821</v>
      </c>
      <c r="C52" s="52">
        <f>NORMSDIST(LN(A52/Calculator!$I$41)/Calculator!$D$30)</f>
        <v>0.79893816019242436</v>
      </c>
      <c r="D52" s="52">
        <f>NORMSDIST(LN(A52/Calculator!$I$42)/Calculator!$D$30)</f>
        <v>9.8280188045005851E-2</v>
      </c>
      <c r="E52" s="52">
        <f>NORMSDIST(LN(A52/Calculator!$I$43)/Calculator!$D$30)</f>
        <v>9.8256976931760387E-3</v>
      </c>
    </row>
    <row r="53" spans="1:5" x14ac:dyDescent="0.25">
      <c r="A53" s="51">
        <v>1.03</v>
      </c>
      <c r="B53" s="52">
        <f>NORMSDIST(LN(A53/Calculator!$I$40)/Calculator!$D$30)</f>
        <v>0.99691344447960462</v>
      </c>
      <c r="C53" s="52">
        <f>NORMSDIST(LN(A53/Calculator!$I$41)/Calculator!$D$30)</f>
        <v>0.81242168718358398</v>
      </c>
      <c r="D53" s="52">
        <f>NORMSDIST(LN(A53/Calculator!$I$42)/Calculator!$D$30)</f>
        <v>0.10704594715833925</v>
      </c>
      <c r="E53" s="52">
        <f>NORMSDIST(LN(A53/Calculator!$I$43)/Calculator!$D$30)</f>
        <v>1.1188207557811646E-2</v>
      </c>
    </row>
    <row r="54" spans="1:5" x14ac:dyDescent="0.25">
      <c r="A54" s="51">
        <v>1.05</v>
      </c>
      <c r="B54" s="52">
        <f>NORMSDIST(LN(A54/Calculator!$I$40)/Calculator!$D$30)</f>
        <v>0.99733613407986998</v>
      </c>
      <c r="C54" s="52">
        <f>NORMSDIST(LN(A54/Calculator!$I$41)/Calculator!$D$30)</f>
        <v>0.82508885539836319</v>
      </c>
      <c r="D54" s="52">
        <f>NORMSDIST(LN(A54/Calculator!$I$42)/Calculator!$D$30)</f>
        <v>0.11617762284723541</v>
      </c>
      <c r="E54" s="52">
        <f>NORMSDIST(LN(A54/Calculator!$I$43)/Calculator!$D$30)</f>
        <v>1.2681176108761953E-2</v>
      </c>
    </row>
    <row r="55" spans="1:5" x14ac:dyDescent="0.25">
      <c r="A55" s="51">
        <v>1.07</v>
      </c>
      <c r="B55" s="52">
        <f>NORMSDIST(LN(A55/Calculator!$I$40)/Calculator!$D$30)</f>
        <v>0.99769931198409967</v>
      </c>
      <c r="C55" s="52">
        <f>NORMSDIST(LN(A55/Calculator!$I$41)/Calculator!$D$30)</f>
        <v>0.83697600240355086</v>
      </c>
      <c r="D55" s="52">
        <f>NORMSDIST(LN(A55/Calculator!$I$42)/Calculator!$D$30)</f>
        <v>0.12566134946791122</v>
      </c>
      <c r="E55" s="52">
        <f>NORMSDIST(LN(A55/Calculator!$I$43)/Calculator!$D$30)</f>
        <v>1.4310515684489697E-2</v>
      </c>
    </row>
    <row r="56" spans="1:5" x14ac:dyDescent="0.25">
      <c r="A56" s="51">
        <v>1.0900000000000001</v>
      </c>
      <c r="B56" s="52">
        <f>NORMSDIST(LN(A56/Calculator!$I$40)/Calculator!$D$30)</f>
        <v>0.99801155415668785</v>
      </c>
      <c r="C56" s="52">
        <f>NORMSDIST(LN(A56/Calculator!$I$41)/Calculator!$D$30)</f>
        <v>0.84811982230671457</v>
      </c>
      <c r="D56" s="52">
        <f>NORMSDIST(LN(A56/Calculator!$I$42)/Calculator!$D$30)</f>
        <v>0.13548207033636395</v>
      </c>
      <c r="E56" s="52">
        <f>NORMSDIST(LN(A56/Calculator!$I$43)/Calculator!$D$30)</f>
        <v>1.6081873400202285E-2</v>
      </c>
    </row>
    <row r="57" spans="1:5" x14ac:dyDescent="0.25">
      <c r="A57" s="51">
        <v>1.1100000000000001</v>
      </c>
      <c r="B57" s="52">
        <f>NORMSDIST(LN(A57/Calculator!$I$40)/Calculator!$D$30)</f>
        <v>0.99828017848617223</v>
      </c>
      <c r="C57" s="52">
        <f>NORMSDIST(LN(A57/Calculator!$I$41)/Calculator!$D$30)</f>
        <v>0.85855698643639011</v>
      </c>
      <c r="D57" s="52">
        <f>NORMSDIST(LN(A57/Calculator!$I$42)/Calculator!$D$30)</f>
        <v>0.14562368897055314</v>
      </c>
      <c r="E57" s="52">
        <f>NORMSDIST(LN(A57/Calculator!$I$43)/Calculator!$D$30)</f>
        <v>1.8000600290715159E-2</v>
      </c>
    </row>
    <row r="58" spans="1:5" x14ac:dyDescent="0.25">
      <c r="A58" s="51">
        <v>1.1299999999999999</v>
      </c>
      <c r="B58" s="52">
        <f>NORMSDIST(LN(A58/Calculator!$I$40)/Calculator!$D$30)</f>
        <v>0.99851143134298048</v>
      </c>
      <c r="C58" s="52">
        <f>NORMSDIST(LN(A58/Calculator!$I$41)/Calculator!$D$30)</f>
        <v>0.86832382705074129</v>
      </c>
      <c r="D58" s="52">
        <f>NORMSDIST(LN(A58/Calculator!$I$42)/Calculator!$D$30)</f>
        <v>0.15606921840804475</v>
      </c>
      <c r="E58" s="52">
        <f>NORMSDIST(LN(A58/Calculator!$I$43)/Calculator!$D$30)</f>
        <v>2.0071723398954289E-2</v>
      </c>
    </row>
    <row r="59" spans="1:5" x14ac:dyDescent="0.25">
      <c r="A59" s="51">
        <v>1.1499999999999999</v>
      </c>
      <c r="B59" s="52">
        <f>NORMSDIST(LN(A59/Calculator!$I$40)/Calculator!$D$30)</f>
        <v>0.99871064644877727</v>
      </c>
      <c r="C59" s="52">
        <f>NORMSDIST(LN(A59/Calculator!$I$41)/Calculator!$D$30)</f>
        <v>0.8774560771258737</v>
      </c>
      <c r="D59" s="52">
        <f>NORMSDIST(LN(A59/Calculator!$I$42)/Calculator!$D$30)</f>
        <v>0.16680092708537089</v>
      </c>
      <c r="E59" s="52">
        <f>NORMSDIST(LN(A59/Calculator!$I$43)/Calculator!$D$30)</f>
        <v>2.2299920923935287E-2</v>
      </c>
    </row>
    <row r="60" spans="1:5" x14ac:dyDescent="0.25">
      <c r="A60" s="51">
        <v>1.17</v>
      </c>
      <c r="B60" s="52">
        <f>NORMSDIST(LN(A60/Calculator!$I$40)/Calculator!$D$30)</f>
        <v>0.99888238010739971</v>
      </c>
      <c r="C60" s="52">
        <f>NORMSDIST(LN(A60/Calculator!$I$41)/Calculator!$D$30)</f>
        <v>0.88598865966511431</v>
      </c>
      <c r="D60" s="52">
        <f>NORMSDIST(LN(A60/Calculator!$I$42)/Calculator!$D$30)</f>
        <v>0.17780048000262544</v>
      </c>
      <c r="E60" s="52">
        <f>NORMSDIST(LN(A60/Calculator!$I$43)/Calculator!$D$30)</f>
        <v>2.4689500496586747E-2</v>
      </c>
    </row>
    <row r="61" spans="1:5" x14ac:dyDescent="0.25">
      <c r="A61" s="51">
        <v>1.19</v>
      </c>
      <c r="B61" s="52">
        <f>NORMSDIST(LN(A61/Calculator!$I$40)/Calculator!$D$30)</f>
        <v>0.99903052627946809</v>
      </c>
      <c r="C61" s="52">
        <f>NORMSDIST(LN(A61/Calculator!$I$41)/Calculator!$D$30)</f>
        <v>0.89395552042041637</v>
      </c>
      <c r="D61" s="52">
        <f>NORMSDIST(LN(A61/Calculator!$I$42)/Calculator!$D$30)</f>
        <v>0.18904907412056796</v>
      </c>
      <c r="E61" s="52">
        <f>NORMSDIST(LN(A61/Calculator!$I$43)/Calculator!$D$30)</f>
        <v>2.7244380610048368E-2</v>
      </c>
    </row>
    <row r="62" spans="1:5" x14ac:dyDescent="0.25">
      <c r="A62" s="51">
        <v>1.21</v>
      </c>
      <c r="B62" s="52">
        <f>NORMSDIST(LN(A62/Calculator!$I$40)/Calculator!$D$30)</f>
        <v>0.99915841448667653</v>
      </c>
      <c r="C62" s="52">
        <f>NORMSDIST(LN(A62/Calculator!$I$41)/Calculator!$D$30)</f>
        <v>0.90138949839931315</v>
      </c>
      <c r="D62" s="52">
        <f>NORMSDIST(LN(A62/Calculator!$I$42)/Calculator!$D$30)</f>
        <v>0.20052756714554845</v>
      </c>
      <c r="E62" s="52">
        <f>NORMSDIST(LN(A62/Calculator!$I$43)/Calculator!$D$30)</f>
        <v>2.996807519329996E-2</v>
      </c>
    </row>
    <row r="63" spans="1:5" x14ac:dyDescent="0.25">
      <c r="A63" s="51">
        <v>1.23</v>
      </c>
      <c r="B63" s="52">
        <f>NORMSDIST(LN(A63/Calculator!$I$40)/Calculator!$D$30)</f>
        <v>0.99926889310079736</v>
      </c>
      <c r="C63" s="52">
        <f>NORMSDIST(LN(A63/Calculator!$I$41)/Calculator!$D$30)</f>
        <v>0.90832222902474746</v>
      </c>
      <c r="D63" s="52">
        <f>NORMSDIST(LN(A63/Calculator!$I$42)/Calculator!$D$30)</f>
        <v>0.21221659904854878</v>
      </c>
      <c r="E63" s="52">
        <f>NORMSDIST(LN(A63/Calculator!$I$43)/Calculator!$D$30)</f>
        <v>3.2863681283291646E-2</v>
      </c>
    </row>
    <row r="64" spans="1:5" x14ac:dyDescent="0.25">
      <c r="A64" s="51">
        <v>1.25</v>
      </c>
      <c r="B64" s="52">
        <f>NORMSDIST(LN(A64/Calculator!$I$40)/Calculator!$D$30)</f>
        <v>0.99936440019974271</v>
      </c>
      <c r="C64" s="52">
        <f>NORMSDIST(LN(A64/Calculator!$I$41)/Calculator!$D$30)</f>
        <v>0.91478407530516492</v>
      </c>
      <c r="D64" s="52">
        <f>NORMSDIST(LN(A64/Calculator!$I$42)/Calculator!$D$30)</f>
        <v>0.22409670583781141</v>
      </c>
      <c r="E64" s="52">
        <f>NORMSDIST(LN(A64/Calculator!$I$43)/Calculator!$D$30)</f>
        <v>3.59338697211685E-2</v>
      </c>
    </row>
    <row r="65" spans="1:5" x14ac:dyDescent="0.25">
      <c r="A65" s="51">
        <v>1.27</v>
      </c>
      <c r="B65" s="52">
        <f>NORMSDIST(LN(A65/Calculator!$I$40)/Calculator!$D$30)</f>
        <v>0.99944702385193085</v>
      </c>
      <c r="C65" s="52">
        <f>NORMSDIST(LN(A65/Calculator!$I$41)/Calculator!$D$30)</f>
        <v>0.92080408284731252</v>
      </c>
      <c r="D65" s="52">
        <f>NORMSDIST(LN(A65/Calculator!$I$42)/Calculator!$D$30)</f>
        <v>0.23614842525971436</v>
      </c>
      <c r="E65" s="52">
        <f>NORMSDIST(LN(A65/Calculator!$I$43)/Calculator!$D$30)</f>
        <v>3.9180878772660403E-2</v>
      </c>
    </row>
    <row r="66" spans="1:5" x14ac:dyDescent="0.25">
      <c r="A66" s="51">
        <v>1.29</v>
      </c>
      <c r="B66" s="52">
        <f>NORMSDIST(LN(A66/Calculator!$I$40)/Calculator!$D$30)</f>
        <v>0.9995185534144323</v>
      </c>
      <c r="C66" s="52">
        <f>NORMSDIST(LN(A66/Calculator!$I$41)/Calculator!$D$30)</f>
        <v>0.92640995499646905</v>
      </c>
      <c r="D66" s="52">
        <f>NORMSDIST(LN(A66/Calculator!$I$42)/Calculator!$D$30)</f>
        <v>0.24835239423996547</v>
      </c>
      <c r="E66" s="52">
        <f>NORMSDIST(LN(A66/Calculator!$I$43)/Calculator!$D$30)</f>
        <v>4.2606510551113398E-2</v>
      </c>
    </row>
    <row r="67" spans="1:5" x14ac:dyDescent="0.25">
      <c r="A67" s="51">
        <v>1.31</v>
      </c>
      <c r="B67" s="52">
        <f>NORMSDIST(LN(A67/Calculator!$I$40)/Calculator!$D$30)</f>
        <v>0.9995805231941306</v>
      </c>
      <c r="C67" s="52">
        <f>NORMSDIST(LN(A67/Calculator!$I$41)/Calculator!$D$30)</f>
        <v>0.93162804481327977</v>
      </c>
      <c r="D67" s="52">
        <f>NORMSDIST(LN(A67/Calculator!$I$42)/Calculator!$D$30)</f>
        <v>0.2606894379973983</v>
      </c>
      <c r="E67" s="52">
        <f>NORMSDIST(LN(A67/Calculator!$I$43)/Calculator!$D$30)</f>
        <v>4.6212130103800944E-2</v>
      </c>
    </row>
    <row r="68" spans="1:5" x14ac:dyDescent="0.25">
      <c r="A68" s="51">
        <v>1.33</v>
      </c>
      <c r="B68" s="52">
        <f>NORMSDIST(LN(A68/Calculator!$I$40)/Calculator!$D$30)</f>
        <v>0.99963424961919134</v>
      </c>
      <c r="C68" s="52">
        <f>NORMSDIST(LN(A68/Calculator!$I$41)/Calculator!$D$30)</f>
        <v>0.93648336098999674</v>
      </c>
      <c r="D68" s="52">
        <f>NORMSDIST(LN(A68/Calculator!$I$42)/Calculator!$D$30)</f>
        <v>0.27314065086645101</v>
      </c>
      <c r="E68" s="52">
        <f>NORMSDIST(LN(A68/Calculator!$I$43)/Calculator!$D$30)</f>
        <v>4.9998667007854089E-2</v>
      </c>
    </row>
    <row r="69" spans="1:5" x14ac:dyDescent="0.25">
      <c r="A69" s="51">
        <v>1.35</v>
      </c>
      <c r="B69" s="52">
        <f>NORMSDIST(LN(A69/Calculator!$I$40)/Calculator!$D$30)</f>
        <v>0.99968086289582636</v>
      </c>
      <c r="C69" s="52">
        <f>NORMSDIST(LN(A69/Calculator!$I$41)/Calculator!$D$30)</f>
        <v>0.9409995851703411</v>
      </c>
      <c r="D69" s="52">
        <f>NORMSDIST(LN(A69/Calculator!$I$42)/Calculator!$D$30)</f>
        <v>0.28568746895277275</v>
      </c>
      <c r="E69" s="52">
        <f>NORMSDIST(LN(A69/Calculator!$I$43)/Calculator!$D$30)</f>
        <v>5.3966619311149419E-2</v>
      </c>
    </row>
    <row r="70" spans="1:5" x14ac:dyDescent="0.25">
      <c r="A70" s="51">
        <v>1.37</v>
      </c>
      <c r="B70" s="52">
        <f>NORMSDIST(LN(A70/Calculator!$I$40)/Calculator!$D$30)</f>
        <v>0.99972133397852581</v>
      </c>
      <c r="C70" s="52">
        <f>NORMSDIST(LN(A70/Calculator!$I$41)/Calculator!$D$30)</f>
        <v>0.94519909846618844</v>
      </c>
      <c r="D70" s="52">
        <f>NORMSDIST(LN(A70/Calculator!$I$42)/Calculator!$D$30)</f>
        <v>0.29831173482044165</v>
      </c>
      <c r="E70" s="52">
        <f>NORMSDIST(LN(A70/Calculator!$I$43)/Calculator!$D$30)</f>
        <v>5.8116059645525291E-2</v>
      </c>
    </row>
    <row r="71" spans="1:5" x14ac:dyDescent="0.25">
      <c r="A71" s="51">
        <v>1.39</v>
      </c>
      <c r="B71" s="52">
        <f>NORMSDIST(LN(A71/Calculator!$I$40)/Calculator!$D$30)</f>
        <v>0.99975649755699447</v>
      </c>
      <c r="C71" s="52">
        <f>NORMSDIST(LN(A71/Calculator!$I$41)/Calculator!$D$30)</f>
        <v>0.94910301526151075</v>
      </c>
      <c r="D71" s="52">
        <f>NORMSDIST(LN(A71/Calculator!$I$42)/Calculator!$D$30)</f>
        <v>0.31099575447013178</v>
      </c>
      <c r="E71" s="52">
        <f>NORMSDIST(LN(A71/Calculator!$I$43)/Calculator!$D$30)</f>
        <v>6.2446643334495427E-2</v>
      </c>
    </row>
    <row r="72" spans="1:5" x14ac:dyDescent="0.25">
      <c r="A72" s="51">
        <v>1.41</v>
      </c>
      <c r="B72" s="52">
        <f>NORMSDIST(LN(A72/Calculator!$I$40)/Calculator!$D$30)</f>
        <v>0.99978707165681358</v>
      </c>
      <c r="C72" s="52">
        <f>NORMSDIST(LN(A72/Calculator!$I$41)/Calculator!$D$30)</f>
        <v>0.95273122266072607</v>
      </c>
      <c r="D72" s="52">
        <f>NORMSDIST(LN(A72/Calculator!$I$42)/Calculator!$D$30)</f>
        <v>0.32372234691645912</v>
      </c>
      <c r="E72" s="52">
        <f>NORMSDIST(LN(A72/Calculator!$I$43)/Calculator!$D$30)</f>
        <v>6.6957618314908929E-2</v>
      </c>
    </row>
    <row r="73" spans="1:5" x14ac:dyDescent="0.25">
      <c r="A73" s="51">
        <v>1.43</v>
      </c>
      <c r="B73" s="52">
        <f>NORMSDIST(LN(A73/Calculator!$I$40)/Calculator!$D$30)</f>
        <v>0.99981367436061863</v>
      </c>
      <c r="C73" s="52">
        <f>NORMSDIST(LN(A73/Calculator!$I$41)/Calculator!$D$30)</f>
        <v>0.95610242417651992</v>
      </c>
      <c r="D73" s="52">
        <f>NORMSDIST(LN(A73/Calculator!$I$42)/Calculator!$D$30)</f>
        <v>0.33647488671083225</v>
      </c>
      <c r="E73" s="52">
        <f>NORMSDIST(LN(A73/Calculator!$I$43)/Calculator!$D$30)</f>
        <v>7.1647836691497893E-2</v>
      </c>
    </row>
    <row r="74" spans="1:5" x14ac:dyDescent="0.25">
      <c r="A74" s="51">
        <v>1.45</v>
      </c>
      <c r="B74" s="52">
        <f>NORMSDIST(LN(A74/Calculator!$I$40)/Calculator!$D$30)</f>
        <v>0.9998368380799797</v>
      </c>
      <c r="C74" s="52">
        <f>NORMSDIST(LN(A74/Calculator!$I$41)/Calculator!$D$30)</f>
        <v>0.95923418646320346</v>
      </c>
      <c r="D74" s="52">
        <f>NORMSDIST(LN(A74/Calculator!$I$42)/Calculator!$D$30)</f>
        <v>0.34923733978463056</v>
      </c>
      <c r="E74" s="52">
        <f>NORMSDIST(LN(A74/Calculator!$I$43)/Calculator!$D$30)</f>
        <v>7.6515767744692473E-2</v>
      </c>
    </row>
    <row r="75" spans="1:5" x14ac:dyDescent="0.25">
      <c r="A75" s="51">
        <v>1.47</v>
      </c>
      <c r="B75" s="52">
        <f>NORMSDIST(LN(A75/Calculator!$I$40)/Calculator!$D$30)</f>
        <v>0.99985702174316937</v>
      </c>
      <c r="C75" s="52">
        <f>NORMSDIST(LN(A75/Calculator!$I$41)/Calculator!$D$30)</f>
        <v>0.96214298808785725</v>
      </c>
      <c r="D75" s="52">
        <f>NORMSDIST(LN(A75/Calculator!$I$42)/Calculator!$D$30)</f>
        <v>0.36199429300752073</v>
      </c>
      <c r="E75" s="52">
        <f>NORMSDIST(LN(A75/Calculator!$I$43)/Calculator!$D$30)</f>
        <v>8.1559512215195876E-2</v>
      </c>
    </row>
    <row r="76" spans="1:5" x14ac:dyDescent="0.25">
      <c r="A76" s="51">
        <v>1.49</v>
      </c>
      <c r="B76" s="52">
        <f>NORMSDIST(LN(A76/Calculator!$I$40)/Calculator!$D$30)</f>
        <v>0.99987462120885817</v>
      </c>
      <c r="C76" s="52">
        <f>NORMSDIST(LN(A76/Calculator!$I$41)/Calculator!$D$30)</f>
        <v>0.96484426949496138</v>
      </c>
      <c r="D76" s="52">
        <f>NORMSDIST(LN(A76/Calculator!$I$42)/Calculator!$D$30)</f>
        <v>0.37473097786829679</v>
      </c>
      <c r="E76" s="52">
        <f>NORMSDIST(LN(A76/Calculator!$I$43)/Calculator!$D$30)</f>
        <v>8.677681769337367E-2</v>
      </c>
    </row>
    <row r="77" spans="1:5" x14ac:dyDescent="0.25">
      <c r="A77" s="51">
        <v>1.51</v>
      </c>
      <c r="B77" s="52">
        <f>NORMSDIST(LN(A77/Calculator!$I$40)/Calculator!$D$30)</f>
        <v>0.99988997816901382</v>
      </c>
      <c r="C77" s="52">
        <f>NORMSDIST(LN(A77/Calculator!$I$41)/Calculator!$D$30)</f>
        <v>0.96735248346304015</v>
      </c>
      <c r="D77" s="52">
        <f>NORMSDIST(LN(A77/Calculator!$I$42)/Calculator!$D$30)</f>
        <v>0.3874332886917734</v>
      </c>
      <c r="E77" s="52">
        <f>NORMSDIST(LN(A77/Calculator!$I$43)/Calculator!$D$30)</f>
        <v>9.2165094947272264E-2</v>
      </c>
    </row>
    <row r="78" spans="1:5" x14ac:dyDescent="0.25">
      <c r="A78" s="51">
        <v>1.53</v>
      </c>
      <c r="B78" s="52">
        <f>NORMSDIST(LN(A78/Calculator!$I$40)/Calculator!$D$30)</f>
        <v>0.99990338776462062</v>
      </c>
      <c r="C78" s="52">
        <f>NORMSDIST(LN(A78/Calculator!$I$41)/Calculator!$D$30)</f>
        <v>0.96968114547605833</v>
      </c>
      <c r="D78" s="52">
        <f>NORMSDIST(LN(A78/Calculator!$I$42)/Calculator!$D$30)</f>
        <v>0.40008779580590437</v>
      </c>
      <c r="E78" s="52">
        <f>NORMSDIST(LN(A78/Calculator!$I$43)/Calculator!$D$30)</f>
        <v>9.7721435029837073E-2</v>
      </c>
    </row>
    <row r="79" spans="1:5" x14ac:dyDescent="0.25">
      <c r="A79" s="51">
        <v>1.55</v>
      </c>
      <c r="B79" s="52">
        <f>NORMSDIST(LN(A79/Calculator!$I$40)/Calculator!$D$30)</f>
        <v>0.99991510510420845</v>
      </c>
      <c r="C79" s="52">
        <f>NORMSDIST(LN(A79/Calculator!$I$41)/Calculator!$D$30)</f>
        <v>0.97184288353983794</v>
      </c>
      <c r="D79" s="52">
        <f>NORMSDIST(LN(A79/Calculator!$I$42)/Calculator!$D$30)</f>
        <v>0.41268175406929597</v>
      </c>
      <c r="E79" s="52">
        <f>NORMSDIST(LN(A79/Calculator!$I$43)/Calculator!$D$30)</f>
        <v>0.10344262701345329</v>
      </c>
    </row>
    <row r="80" spans="1:5" x14ac:dyDescent="0.25">
      <c r="A80" s="51">
        <v>1.57</v>
      </c>
      <c r="B80" s="52">
        <f>NORMSDIST(LN(A80/Calculator!$I$40)/Calculator!$D$30)</f>
        <v>0.99992535084666145</v>
      </c>
      <c r="C80" s="52">
        <f>NORMSDIST(LN(A80/Calculator!$I$41)/Calculator!$D$30)</f>
        <v>0.97384948706641239</v>
      </c>
      <c r="D80" s="52">
        <f>NORMSDIST(LN(A80/Calculator!$I$42)/Calculator!$D$30)</f>
        <v>0.42520310716140053</v>
      </c>
      <c r="E80" s="52">
        <f>NORMSDIST(LN(A80/Calculator!$I$43)/Calculator!$D$30)</f>
        <v>0.10932517620808938</v>
      </c>
    </row>
    <row r="81" spans="1:5" x14ac:dyDescent="0.25">
      <c r="A81" s="51">
        <v>1.59</v>
      </c>
      <c r="B81" s="52">
        <f>NORMSDIST(LN(A81/Calculator!$I$40)/Calculator!$D$30)</f>
        <v>0.9999343159855929</v>
      </c>
      <c r="C81" s="52">
        <f>NORMSDIST(LN(A81/Calculator!$I$41)/Calculator!$D$30)</f>
        <v>0.97571195452868309</v>
      </c>
      <c r="D81" s="52">
        <f>NORMSDIST(LN(A81/Calculator!$I$42)/Calculator!$D$30)</f>
        <v>0.43764048802662847</v>
      </c>
      <c r="E81" s="52">
        <f>NORMSDIST(LN(A81/Calculator!$I$43)/Calculator!$D$30)</f>
        <v>0.11536532272794235</v>
      </c>
    </row>
    <row r="82" spans="1:5" x14ac:dyDescent="0.25">
      <c r="A82" s="51">
        <v>1.61</v>
      </c>
      <c r="B82" s="52">
        <f>NORMSDIST(LN(A82/Calculator!$I$40)/Calculator!$D$30)</f>
        <v>0.99994216595205665</v>
      </c>
      <c r="C82" s="52">
        <f>NORMSDIST(LN(A82/Calculator!$I$41)/Calculator!$D$30)</f>
        <v>0.97744053965553479</v>
      </c>
      <c r="D82" s="52">
        <f>NORMSDIST(LN(A82/Calculator!$I$42)/Calculator!$D$30)</f>
        <v>0.44998321585000695</v>
      </c>
      <c r="E82" s="52">
        <f>NORMSDIST(LN(A82/Calculator!$I$43)/Calculator!$D$30)</f>
        <v>0.12155906028039723</v>
      </c>
    </row>
    <row r="83" spans="1:5" x14ac:dyDescent="0.25">
      <c r="A83" s="51">
        <v>1.63</v>
      </c>
      <c r="B83" s="52">
        <f>NORMSDIST(LN(A83/Calculator!$I$40)/Calculator!$D$30)</f>
        <v>0.99994904413495778</v>
      </c>
      <c r="C83" s="52">
        <f>NORMSDIST(LN(A83/Calculator!$I$41)/Calculator!$D$30)</f>
        <v>0.97904479599509142</v>
      </c>
      <c r="D83" s="52">
        <f>NORMSDIST(LN(A83/Calculator!$I$42)/Calculator!$D$30)</f>
        <v>0.46222128992642003</v>
      </c>
      <c r="E83" s="52">
        <f>NORMSDIST(LN(A83/Calculator!$I$43)/Calculator!$D$30)</f>
        <v>0.12790215506020466</v>
      </c>
    </row>
    <row r="84" spans="1:5" x14ac:dyDescent="0.25">
      <c r="A84" s="51">
        <v>1.65</v>
      </c>
      <c r="B84" s="52">
        <f>NORMSDIST(LN(A84/Calculator!$I$40)/Calculator!$D$30)</f>
        <v>0.99995507490375768</v>
      </c>
      <c r="C84" s="52">
        <f>NORMSDIST(LN(A84/Calculator!$I$41)/Calculator!$D$30)</f>
        <v>0.9805336197223532</v>
      </c>
      <c r="D84" s="52">
        <f>NORMSDIST(LN(A84/Calculator!$I$42)/Calculator!$D$30)</f>
        <v>0.47434538076836313</v>
      </c>
      <c r="E84" s="52">
        <f>NORMSDIST(LN(A84/Calculator!$I$43)/Calculator!$D$30)</f>
        <v>0.13439016464093362</v>
      </c>
    </row>
    <row r="85" spans="1:5" x14ac:dyDescent="0.25">
      <c r="A85" s="51">
        <v>1.67</v>
      </c>
      <c r="B85" s="52">
        <f>NORMSDIST(LN(A85/Calculator!$I$40)/Calculator!$D$30)</f>
        <v>0.99996036620552098</v>
      </c>
      <c r="C85" s="52">
        <f>NORMSDIST(LN(A85/Calculator!$I$41)/Calculator!$D$30)</f>
        <v>0.98191529060816374</v>
      </c>
      <c r="D85" s="52">
        <f>NORMSDIST(LN(A85/Calculator!$I$42)/Calculator!$D$30)</f>
        <v>0.48634681877897085</v>
      </c>
      <c r="E85" s="52">
        <f>NORMSDIST(LN(A85/Calculator!$I$43)/Calculator!$D$30)</f>
        <v>0.14101845676486485</v>
      </c>
    </row>
    <row r="86" spans="1:5" x14ac:dyDescent="0.25">
      <c r="A86" s="51">
        <v>1.69</v>
      </c>
      <c r="B86" s="52">
        <f>NORMSDIST(LN(A86/Calculator!$I$40)/Calculator!$D$30)</f>
        <v>0.99996501179770958</v>
      </c>
      <c r="C86" s="52">
        <f>NORMSDIST(LN(A86/Calculator!$I$41)/Calculator!$D$30)</f>
        <v>0.98319751110036435</v>
      </c>
      <c r="D86" s="52">
        <f>NORMSDIST(LN(A86/Calculator!$I$42)/Calculator!$D$30)</f>
        <v>0.49821758079819678</v>
      </c>
      <c r="E86" s="52">
        <f>NORMSDIST(LN(A86/Calculator!$I$43)/Calculator!$D$30)</f>
        <v>0.14778222794148332</v>
      </c>
    </row>
    <row r="87" spans="1:5" x14ac:dyDescent="0.25">
      <c r="A87" s="51">
        <v>1.71</v>
      </c>
      <c r="B87" s="52">
        <f>NORMSDIST(LN(A87/Calculator!$I$40)/Calculator!$D$30)</f>
        <v>0.99996909316907379</v>
      </c>
      <c r="C87" s="52">
        <f>NORMSDIST(LN(A87/Calculator!$I$41)/Calculator!$D$30)</f>
        <v>0.98438744349600171</v>
      </c>
      <c r="D87" s="52">
        <f>NORMSDIST(LN(A87/Calculator!$I$42)/Calculator!$D$30)</f>
        <v>0.50995027481075783</v>
      </c>
      <c r="E87" s="52">
        <f>NORMSDIST(LN(A87/Calculator!$I$43)/Calculator!$D$30)</f>
        <v>0.15467652177351709</v>
      </c>
    </row>
    <row r="88" spans="1:5" x14ac:dyDescent="0.25">
      <c r="A88" s="51">
        <v>1.73</v>
      </c>
      <c r="B88" s="52">
        <f>NORMSDIST(LN(A88/Calculator!$I$40)/Calculator!$D$30)</f>
        <v>0.9999726811933054</v>
      </c>
      <c r="C88" s="52">
        <f>NORMSDIST(LN(A88/Calculator!$I$41)/Calculator!$D$30)</f>
        <v>0.98549174520638116</v>
      </c>
      <c r="D88" s="52">
        <f>NORMSDIST(LN(A88/Calculator!$I$42)/Calculator!$D$30)</f>
        <v>0.52153812308507508</v>
      </c>
      <c r="E88" s="52">
        <f>NORMSDIST(LN(A88/Calculator!$I$43)/Calculator!$D$30)</f>
        <v>0.16169624693800919</v>
      </c>
    </row>
    <row r="89" spans="1:5" x14ac:dyDescent="0.25">
      <c r="A89" s="51">
        <v>1.75</v>
      </c>
      <c r="B89" s="52">
        <f>NORMSDIST(LN(A89/Calculator!$I$40)/Calculator!$D$30)</f>
        <v>0.99997583755357466</v>
      </c>
      <c r="C89" s="52">
        <f>NORMSDIST(LN(A89/Calculator!$I$41)/Calculator!$D$30)</f>
        <v>0.98651660213531689</v>
      </c>
      <c r="D89" s="52">
        <f>NORMSDIST(LN(A89/Calculator!$I$42)/Calculator!$D$30)</f>
        <v>0.53297494399317968</v>
      </c>
      <c r="E89" s="52">
        <f>NORMSDIST(LN(A89/Calculator!$I$43)/Calculator!$D$30)</f>
        <v>0.16883619475813669</v>
      </c>
    </row>
    <row r="90" spans="1:5" x14ac:dyDescent="0.25">
      <c r="A90" s="51">
        <v>1.77</v>
      </c>
      <c r="B90" s="52">
        <f>NORMSDIST(LN(A90/Calculator!$I$40)/Calculator!$D$30)</f>
        <v>0.99997861597051252</v>
      </c>
      <c r="C90" s="52">
        <f>NORMSDIST(LN(A90/Calculator!$I$41)/Calculator!$D$30)</f>
        <v>0.98746776020575389</v>
      </c>
      <c r="D90" s="52">
        <f>NORMSDIST(LN(A90/Calculator!$I$42)/Calculator!$D$30)</f>
        <v>0.54425513274257642</v>
      </c>
      <c r="E90" s="52">
        <f>NORMSDIST(LN(A90/Calculator!$I$43)/Calculator!$D$30)</f>
        <v>0.17609105630938304</v>
      </c>
    </row>
    <row r="91" spans="1:5" x14ac:dyDescent="0.25">
      <c r="A91" s="51">
        <v>1.79</v>
      </c>
      <c r="B91" s="52">
        <f>NORMSDIST(LN(A91/Calculator!$I$40)/Calculator!$D$30)</f>
        <v>0.99998106326146263</v>
      </c>
      <c r="C91" s="52">
        <f>NORMSDIST(LN(A91/Calculator!$I$41)/Calculator!$D$30)</f>
        <v>0.9883505550815801</v>
      </c>
      <c r="D91" s="52">
        <f>NORMSDIST(LN(A91/Calculator!$I$42)/Calculator!$D$30)</f>
        <v>0.55537364123256139</v>
      </c>
      <c r="E91" s="52">
        <f>NORMSDIST(LN(A91/Calculator!$I$43)/Calculator!$D$30)</f>
        <v>0.18345543901117789</v>
      </c>
    </row>
    <row r="92" spans="1:5" x14ac:dyDescent="0.25">
      <c r="A92" s="51">
        <v>1.81</v>
      </c>
      <c r="B92" s="52">
        <f>NORMSDIST(LN(A92/Calculator!$I$40)/Calculator!$D$30)</f>
        <v>0.99998322025479658</v>
      </c>
      <c r="C92" s="52">
        <f>NORMSDIST(LN(A92/Calculator!$I$41)/Calculator!$D$30)</f>
        <v>0.98916994014038528</v>
      </c>
      <c r="D92" s="52">
        <f>NORMSDIST(LN(A92/Calculator!$I$42)/Calculator!$D$30)</f>
        <v>0.56632595722954593</v>
      </c>
      <c r="E92" s="52">
        <f>NORMSDIST(LN(A92/Calculator!$I$43)/Calculator!$D$30)</f>
        <v>0.19092388266223445</v>
      </c>
    </row>
    <row r="93" spans="1:5" x14ac:dyDescent="0.25">
      <c r="A93" s="51">
        <v>1.83</v>
      </c>
      <c r="B93" s="52">
        <f>NORMSDIST(LN(A93/Calculator!$I$40)/Calculator!$D$30)</f>
        <v>0.99998512257964933</v>
      </c>
      <c r="C93" s="52">
        <f>NORMSDIST(LN(A93/Calculator!$I$41)/Calculator!$D$30)</f>
        <v>0.98993051275959576</v>
      </c>
      <c r="D93" s="52">
        <f>NORMSDIST(LN(A93/Calculator!$I$42)/Calculator!$D$30)</f>
        <v>0.57710808303869743</v>
      </c>
      <c r="E93" s="52">
        <f>NORMSDIST(LN(A93/Calculator!$I$43)/Calculator!$D$30)</f>
        <v>0.19849087488452069</v>
      </c>
    </row>
    <row r="94" spans="1:5" x14ac:dyDescent="0.25">
      <c r="A94" s="51">
        <v>1.85</v>
      </c>
      <c r="B94" s="52">
        <f>NORMSDIST(LN(A94/Calculator!$I$40)/Calculator!$D$30)</f>
        <v>0.99998680134850382</v>
      </c>
      <c r="C94" s="52">
        <f>NORMSDIST(LN(A94/Calculator!$I$41)/Calculator!$D$30)</f>
        <v>0.99063653898316451</v>
      </c>
      <c r="D94" s="52">
        <f>NORMSDIST(LN(A94/Calculator!$I$42)/Calculator!$D$30)</f>
        <v>0.58771651383269496</v>
      </c>
      <c r="E94" s="52">
        <f>NORMSDIST(LN(A94/Calculator!$I$43)/Calculator!$D$30)</f>
        <v>0.20615086594707555</v>
      </c>
    </row>
    <row r="95" spans="1:5" x14ac:dyDescent="0.25">
      <c r="A95" s="51">
        <v>1.87</v>
      </c>
      <c r="B95" s="52">
        <f>NORMSDIST(LN(A95/Calculator!$I$40)/Calculator!$D$30)</f>
        <v>0.99998828374755511</v>
      </c>
      <c r="C95" s="52">
        <f>NORMSDIST(LN(A95/Calculator!$I$41)/Calculator!$D$30)</f>
        <v>0.99129197663916113</v>
      </c>
      <c r="D95" s="52">
        <f>NORMSDIST(LN(A95/Calculator!$I$42)/Calculator!$D$30)</f>
        <v>0.59814821578270783</v>
      </c>
      <c r="E95" s="52">
        <f>NORMSDIST(LN(A95/Calculator!$I$43)/Calculator!$D$30)</f>
        <v>0.21389828294674307</v>
      </c>
    </row>
    <row r="96" spans="1:5" x14ac:dyDescent="0.25">
      <c r="A96" s="51">
        <v>1.89</v>
      </c>
      <c r="B96" s="52">
        <f>NORMSDIST(LN(A96/Calculator!$I$40)/Calculator!$D$30)</f>
        <v>0.99998959354765071</v>
      </c>
      <c r="C96" s="52">
        <f>NORMSDIST(LN(A96/Calculator!$I$41)/Calculator!$D$30)</f>
        <v>0.99190049698044613</v>
      </c>
      <c r="D96" s="52">
        <f>NORMSDIST(LN(A96/Calculator!$I$42)/Calculator!$D$30)</f>
        <v>0.60840060412183461</v>
      </c>
      <c r="E96" s="52">
        <f>NORMSDIST(LN(A96/Calculator!$I$43)/Calculator!$D$30)</f>
        <v>0.22172754332832392</v>
      </c>
    </row>
    <row r="97" spans="1:5" x14ac:dyDescent="0.25">
      <c r="A97" s="51">
        <v>1.91</v>
      </c>
      <c r="B97" s="52">
        <f>NORMSDIST(LN(A97/Calculator!$I$40)/Calculator!$D$30)</f>
        <v>0.99999075154678685</v>
      </c>
      <c r="C97" s="52">
        <f>NORMSDIST(LN(A97/Calculator!$I$41)/Calculator!$D$30)</f>
        <v>0.99246550492136887</v>
      </c>
      <c r="D97" s="52">
        <f>NORMSDIST(LN(A97/Calculator!$I$42)/Calculator!$D$30)</f>
        <v>0.61847152125725213</v>
      </c>
      <c r="E97" s="52">
        <f>NORMSDIST(LN(A97/Calculator!$I$43)/Calculator!$D$30)</f>
        <v>0.22963306773165967</v>
      </c>
    </row>
    <row r="98" spans="1:5" x14ac:dyDescent="0.25">
      <c r="A98" s="51">
        <v>1.93</v>
      </c>
      <c r="B98" s="52">
        <f>NORMSDIST(LN(A98/Calculator!$I$40)/Calculator!$D$30)</f>
        <v>0.99999177595358069</v>
      </c>
      <c r="C98" s="52">
        <f>NORMSDIST(LN(A98/Calculator!$I$41)/Calculator!$D$30)</f>
        <v>0.99299015794330392</v>
      </c>
      <c r="D98" s="52">
        <f>NORMSDIST(LN(A98/Calculator!$I$42)/Calculator!$D$30)</f>
        <v>0.62835921503417735</v>
      </c>
      <c r="E98" s="52">
        <f>NORMSDIST(LN(A98/Calculator!$I$43)/Calculator!$D$30)</f>
        <v>0.23760929215775944</v>
      </c>
    </row>
    <row r="99" spans="1:5" x14ac:dyDescent="0.25">
      <c r="A99" s="51">
        <v>1.95</v>
      </c>
      <c r="B99" s="52">
        <f>NORMSDIST(LN(A99/Calculator!$I$40)/Calculator!$D$30)</f>
        <v>0.99999268271980934</v>
      </c>
      <c r="C99" s="52">
        <f>NORMSDIST(LN(A99/Calculator!$I$41)/Calculator!$D$30)</f>
        <v>0.99347738374099603</v>
      </c>
      <c r="D99" s="52">
        <f>NORMSDIST(LN(A99/Calculator!$I$42)/Calculator!$D$30)</f>
        <v>0.63806231724249252</v>
      </c>
      <c r="E99" s="52">
        <f>NORMSDIST(LN(A99/Calculator!$I$43)/Calculator!$D$30)</f>
        <v>0.2456506794502844</v>
      </c>
    </row>
    <row r="100" spans="1:5" x14ac:dyDescent="0.25">
      <c r="A100" s="51">
        <v>1.97</v>
      </c>
      <c r="B100" s="52">
        <f>NORMSDIST(LN(A100/Calculator!$I$40)/Calculator!$D$30)</f>
        <v>0.99999348582897152</v>
      </c>
      <c r="C100" s="52">
        <f>NORMSDIST(LN(A100/Calculator!$I$41)/Calculator!$D$30)</f>
        <v>0.99392989668028286</v>
      </c>
      <c r="D100" s="52">
        <f>NORMSDIST(LN(A100/Calculator!$I$42)/Calculator!$D$30)</f>
        <v>0.64757982244546075</v>
      </c>
      <c r="E100" s="52">
        <f>NORMSDIST(LN(A100/Calculator!$I$43)/Calculator!$D$30)</f>
        <v>0.25375173009251073</v>
      </c>
    </row>
    <row r="101" spans="1:5" x14ac:dyDescent="0.25">
      <c r="A101" s="51">
        <v>1.99</v>
      </c>
      <c r="B101" s="52">
        <f>NORMSDIST(LN(A101/Calculator!$I$40)/Calculator!$D$30)</f>
        <v>0.99999419754684871</v>
      </c>
      <c r="C101" s="52">
        <f>NORMSDIST(LN(A101/Calculator!$I$41)/Calculator!$D$30)</f>
        <v>0.99435021313591532</v>
      </c>
      <c r="D101" s="52">
        <f>NORMSDIST(LN(A101/Calculator!$I$42)/Calculator!$D$30)</f>
        <v>0.65691106719938608</v>
      </c>
      <c r="E101" s="52">
        <f>NORMSDIST(LN(A101/Calculator!$I$43)/Calculator!$D$30)</f>
        <v>0.26190699232333559</v>
      </c>
    </row>
    <row r="102" spans="1:5" x14ac:dyDescent="0.25">
      <c r="A102" s="51">
        <v>2.0099999999999998</v>
      </c>
      <c r="B102" s="52">
        <f>NORMSDIST(LN(A102/Calculator!$I$40)/Calculator!$D$30)</f>
        <v>0.99999482863921241</v>
      </c>
      <c r="C102" s="52">
        <f>NORMSDIST(LN(A102/Calculator!$I$41)/Calculator!$D$30)</f>
        <v>0.9947406657760135</v>
      </c>
      <c r="D102" s="52">
        <f>NORMSDIST(LN(A102/Calculator!$I$42)/Calculator!$D$30)</f>
        <v>0.66605570972330741</v>
      </c>
      <c r="E102" s="52">
        <f>NORMSDIST(LN(A102/Calculator!$I$43)/Calculator!$D$30)</f>
        <v>0.27011107157897002</v>
      </c>
    </row>
    <row r="103" spans="1:5" x14ac:dyDescent="0.25">
      <c r="A103" s="51">
        <v>2.0299999999999998</v>
      </c>
      <c r="B103" s="52">
        <f>NORMSDIST(LN(A103/Calculator!$I$40)/Calculator!$D$30)</f>
        <v>0.9999953885611077</v>
      </c>
      <c r="C103" s="52">
        <f>NORMSDIST(LN(A103/Calculator!$I$41)/Calculator!$D$30)</f>
        <v>0.99510341685726389</v>
      </c>
      <c r="D103" s="52">
        <f>NORMSDIST(LN(A103/Calculator!$I$42)/Calculator!$D$30)</f>
        <v>0.67501371006883137</v>
      </c>
      <c r="E103" s="52">
        <f>NORMSDIST(LN(A103/Calculator!$I$43)/Calculator!$D$30)</f>
        <v>0.27835863926970927</v>
      </c>
    </row>
    <row r="104" spans="1:5" x14ac:dyDescent="0.25">
      <c r="A104" s="51">
        <v>2.0499999999999998</v>
      </c>
      <c r="B104" s="52">
        <f>NORMSDIST(LN(A104/Calculator!$I$40)/Calculator!$D$30)</f>
        <v>0.99999588562152841</v>
      </c>
      <c r="C104" s="52">
        <f>NORMSDIST(LN(A104/Calculator!$I$41)/Calculator!$D$30)</f>
        <v>0.99544047059235641</v>
      </c>
      <c r="D104" s="52">
        <f>NORMSDIST(LN(A104/Calculator!$I$42)/Calculator!$D$30)</f>
        <v>0.68378531083197824</v>
      </c>
      <c r="E104" s="52">
        <f>NORMSDIST(LN(A104/Calculator!$I$43)/Calculator!$D$30)</f>
        <v>0.28664444090358976</v>
      </c>
    </row>
    <row r="105" spans="1:5" x14ac:dyDescent="0.25">
      <c r="A105" s="51">
        <v>2.0699999999999998</v>
      </c>
      <c r="B105" s="52">
        <f>NORMSDIST(LN(A105/Calculator!$I$40)/Calculator!$D$30)</f>
        <v>0.99999632712677622</v>
      </c>
      <c r="C105" s="52">
        <f>NORMSDIST(LN(A105/Calculator!$I$41)/Calculator!$D$30)</f>
        <v>0.99575368464843805</v>
      </c>
      <c r="D105" s="52">
        <f>NORMSDIST(LN(A105/Calculator!$I$42)/Calculator!$D$30)</f>
        <v>0.69237101844139648</v>
      </c>
      <c r="E105" s="52">
        <f>NORMSDIST(LN(A105/Calculator!$I$43)/Calculator!$D$30)</f>
        <v>0.29496330357086675</v>
      </c>
    </row>
    <row r="106" spans="1:5" x14ac:dyDescent="0.25">
      <c r="A106" s="51">
        <v>2.09</v>
      </c>
      <c r="B106" s="52">
        <f>NORMSDIST(LN(A106/Calculator!$I$40)/Calculator!$D$30)</f>
        <v>0.99999671950534141</v>
      </c>
      <c r="C106" s="52">
        <f>NORMSDIST(LN(A106/Calculator!$I$41)/Calculator!$D$30)</f>
        <v>0.99604478083257597</v>
      </c>
      <c r="D106" s="52">
        <f>NORMSDIST(LN(A106/Calculator!$I$42)/Calculator!$D$30)</f>
        <v>0.70077158505047465</v>
      </c>
      <c r="E106" s="52">
        <f>NORMSDIST(LN(A106/Calculator!$I$43)/Calculator!$D$30)</f>
        <v>0.30331014280507973</v>
      </c>
    </row>
    <row r="107" spans="1:5" x14ac:dyDescent="0.25">
      <c r="A107" s="51">
        <v>2.11</v>
      </c>
      <c r="B107" s="52">
        <f>NORMSDIST(LN(A107/Calculator!$I$40)/Calculator!$D$30)</f>
        <v>0.9999970684167554</v>
      </c>
      <c r="C107" s="52">
        <f>NORMSDIST(LN(A107/Calculator!$I$41)/Calculator!$D$30)</f>
        <v>0.9963153550174122</v>
      </c>
      <c r="D107" s="52">
        <f>NORMSDIST(LN(A107/Calculator!$I$42)/Calculator!$D$30)</f>
        <v>0.70898799105467447</v>
      </c>
      <c r="E107" s="52">
        <f>NORMSDIST(LN(A107/Calculator!$I$43)/Calculator!$D$30)</f>
        <v>0.31167996883804583</v>
      </c>
    </row>
    <row r="108" spans="1:5" x14ac:dyDescent="0.25">
      <c r="A108" s="51">
        <v>2.13</v>
      </c>
      <c r="B108" s="52">
        <f>NORMSDIST(LN(A108/Calculator!$I$40)/Calculator!$D$30)</f>
        <v>0.99999737884653273</v>
      </c>
      <c r="C108" s="52">
        <f>NORMSDIST(LN(A108/Calculator!$I$41)/Calculator!$D$30)</f>
        <v>0.99656688635739554</v>
      </c>
      <c r="D108" s="52">
        <f>NORMSDIST(LN(A108/Calculator!$I$42)/Calculator!$D$30)</f>
        <v>0.71702142824983306</v>
      </c>
      <c r="E108" s="52">
        <f>NORMSDIST(LN(A108/Calculator!$I$43)/Calculator!$D$30)</f>
        <v>0.32006789226744331</v>
      </c>
    </row>
    <row r="109" spans="1:5" x14ac:dyDescent="0.25">
      <c r="A109" s="51">
        <v>2.15</v>
      </c>
      <c r="B109" s="52">
        <f>NORMSDIST(LN(A109/Calculator!$I$40)/Calculator!$D$30)</f>
        <v>0.99999765518903128</v>
      </c>
      <c r="C109" s="52">
        <f>NORMSDIST(LN(A109/Calculator!$I$41)/Calculator!$D$30)</f>
        <v>0.99680074584321798</v>
      </c>
      <c r="D109" s="52">
        <f>NORMSDIST(LN(A109/Calculator!$I$42)/Calculator!$D$30)</f>
        <v>0.72487328364215564</v>
      </c>
      <c r="E109" s="52">
        <f>NORMSDIST(LN(A109/Calculator!$I$43)/Calculator!$D$30)</f>
        <v>0.32846912915674831</v>
      </c>
    </row>
    <row r="110" spans="1:5" x14ac:dyDescent="0.25">
      <c r="A110" s="51">
        <v>2.17</v>
      </c>
      <c r="B110" s="52">
        <f>NORMSDIST(LN(A110/Calculator!$I$40)/Calculator!$D$30)</f>
        <v>0.99999790131981237</v>
      </c>
      <c r="C110" s="52">
        <f>NORMSDIST(LN(A110/Calculator!$I$41)/Calculator!$D$30)</f>
        <v>0.99701820423937504</v>
      </c>
      <c r="D110" s="52">
        <f>NORMSDIST(LN(A110/Calculator!$I$42)/Calculator!$D$30)</f>
        <v>0.73254512391613191</v>
      </c>
      <c r="E110" s="52">
        <f>NORMSDIST(LN(A110/Calculator!$I$43)/Calculator!$D$30)</f>
        <v>0.33687900558816608</v>
      </c>
    </row>
    <row r="111" spans="1:5" x14ac:dyDescent="0.25">
      <c r="A111" s="51">
        <v>2.19</v>
      </c>
      <c r="B111" s="52">
        <f>NORMSDIST(LN(A111/Calculator!$I$40)/Calculator!$D$30)</f>
        <v>0.99999812065887139</v>
      </c>
      <c r="C111" s="52">
        <f>NORMSDIST(LN(A111/Calculator!$I$41)/Calculator!$D$30)</f>
        <v>0.99722043944714822</v>
      </c>
      <c r="D111" s="52">
        <f>NORMSDIST(LN(A111/Calculator!$I$42)/Calculator!$D$30)</f>
        <v>0.74003868056261657</v>
      </c>
      <c r="E111" s="52">
        <f>NORMSDIST(LN(A111/Calculator!$I$43)/Calculator!$D$30)</f>
        <v>0.34529296168989604</v>
      </c>
    </row>
    <row r="112" spans="1:5" x14ac:dyDescent="0.25">
      <c r="A112" s="51">
        <v>2.21</v>
      </c>
      <c r="B112" s="52">
        <f>NORMSDIST(LN(A112/Calculator!$I$40)/Calculator!$D$30)</f>
        <v>0.99999831622592394</v>
      </c>
      <c r="C112" s="52">
        <f>NORMSDIST(LN(A112/Calculator!$I$41)/Calculator!$D$30)</f>
        <v>0.99740854333276197</v>
      </c>
      <c r="D112" s="52">
        <f>NORMSDIST(LN(A112/Calculator!$I$42)/Calculator!$D$30)</f>
        <v>0.7473558356657739</v>
      </c>
      <c r="E112" s="52">
        <f>NORMSDIST(LN(A112/Calculator!$I$43)/Calculator!$D$30)</f>
        <v>0.35370655515957894</v>
      </c>
    </row>
    <row r="113" spans="1:5" x14ac:dyDescent="0.25">
      <c r="A113" s="51">
        <v>2.23</v>
      </c>
      <c r="B113" s="52">
        <f>NORMSDIST(LN(A113/Calculator!$I$40)/Calculator!$D$30)</f>
        <v>0.999998490688775</v>
      </c>
      <c r="C113" s="52">
        <f>NORMSDIST(LN(A113/Calculator!$I$41)/Calculator!$D$30)</f>
        <v>0.99758352805802541</v>
      </c>
      <c r="D113" s="52">
        <f>NORMSDIST(LN(A113/Calculator!$I$42)/Calculator!$D$30)</f>
        <v>0.75449860834447224</v>
      </c>
      <c r="E113" s="52">
        <f>NORMSDIST(LN(A113/Calculator!$I$43)/Calculator!$D$30)</f>
        <v>0.36211546430613079</v>
      </c>
    </row>
    <row r="114" spans="1:5" x14ac:dyDescent="0.25">
      <c r="A114" s="51">
        <v>2.25</v>
      </c>
      <c r="B114" s="52">
        <f>NORMSDIST(LN(A114/Calculator!$I$40)/Calculator!$D$30)</f>
        <v>0.99999864640566205</v>
      </c>
      <c r="C114" s="52">
        <f>NORMSDIST(LN(A114/Calculator!$I$41)/Calculator!$D$30)</f>
        <v>0.99774633194842566</v>
      </c>
      <c r="D114" s="52">
        <f>NORMSDIST(LN(A114/Calculator!$I$42)/Calculator!$D$30)</f>
        <v>0.76146914184099701</v>
      </c>
      <c r="E114" s="52">
        <f>NORMSDIST(LN(A114/Calculator!$I$43)/Calculator!$D$30)</f>
        <v>0.37051549063237099</v>
      </c>
    </row>
    <row r="115" spans="1:5" x14ac:dyDescent="0.25">
      <c r="A115" s="51">
        <v>2.27</v>
      </c>
      <c r="B115" s="52">
        <f>NORMSDIST(LN(A115/Calculator!$I$40)/Calculator!$D$30)</f>
        <v>0.99999878546234489</v>
      </c>
      <c r="C115" s="52">
        <f>NORMSDIST(LN(A115/Calculator!$I$41)/Calculator!$D$30)</f>
        <v>0.99789782493140333</v>
      </c>
      <c r="D115" s="52">
        <f>NORMSDIST(LN(A115/Calculator!$I$42)/Calculator!$D$30)</f>
        <v>0.76826969124758127</v>
      </c>
      <c r="E115" s="52">
        <f>NORMSDIST(LN(A115/Calculator!$I$43)/Calculator!$D$30)</f>
        <v>0.37890256098092984</v>
      </c>
    </row>
    <row r="116" spans="1:5" x14ac:dyDescent="0.25">
      <c r="A116" s="51">
        <v>2.29</v>
      </c>
      <c r="B116" s="52">
        <f>NORMSDIST(LN(A116/Calculator!$I$40)/Calculator!$D$30)</f>
        <v>0.99999890970461447</v>
      </c>
      <c r="C116" s="52">
        <f>NORMSDIST(LN(A116/Calculator!$I$41)/Calculator!$D$30)</f>
        <v>0.9980388135754118</v>
      </c>
      <c r="D116" s="52">
        <f>NORMSDIST(LN(A116/Calculator!$I$42)/Calculator!$D$30)</f>
        <v>0.77490261185922538</v>
      </c>
      <c r="E116" s="52">
        <f>NORMSDIST(LN(A116/Calculator!$I$43)/Calculator!$D$30)</f>
        <v>0.38727272926587519</v>
      </c>
    </row>
    <row r="117" spans="1:5" x14ac:dyDescent="0.25">
      <c r="A117" s="51">
        <v>2.31</v>
      </c>
      <c r="B117" s="52">
        <f>NORMSDIST(LN(A117/Calculator!$I$40)/Calculator!$D$30)</f>
        <v>0.99999902076680081</v>
      </c>
      <c r="C117" s="52">
        <f>NORMSDIST(LN(A117/Calculator!$I$41)/Calculator!$D$30)</f>
        <v>0.99817004575834378</v>
      </c>
      <c r="D117" s="52">
        <f>NORMSDIST(LN(A117/Calculator!$I$42)/Calculator!$D$30)</f>
        <v>0.78137034813954087</v>
      </c>
      <c r="E117" s="52">
        <f>NORMSDIST(LN(A117/Calculator!$I$43)/Calculator!$D$30)</f>
        <v>0.3956221778123466</v>
      </c>
    </row>
    <row r="118" spans="1:5" x14ac:dyDescent="0.25">
      <c r="A118" s="51">
        <v>2.33</v>
      </c>
      <c r="B118" s="52">
        <f>NORMSDIST(LN(A118/Calculator!$I$40)/Calculator!$D$30)</f>
        <v>0.99999912009678993</v>
      </c>
      <c r="C118" s="52">
        <f>NORMSDIST(LN(A118/Calculator!$I$41)/Calculator!$D$30)</f>
        <v>0.99829221499199561</v>
      </c>
      <c r="D118" s="52">
        <f>NORMSDIST(LN(A118/Calculator!$I$42)/Calculator!$D$30)</f>
        <v>0.78767542328489704</v>
      </c>
      <c r="E118" s="52">
        <f>NORMSDIST(LN(A118/Calculator!$I$43)/Calculator!$D$30)</f>
        <v>0.40394721832624725</v>
      </c>
    </row>
    <row r="119" spans="1:5" x14ac:dyDescent="0.25">
      <c r="A119" s="51">
        <v>2.35</v>
      </c>
      <c r="B119" s="52">
        <f>NORMSDIST(LN(A119/Calculator!$I$40)/Calculator!$D$30)</f>
        <v>0.999999208977988</v>
      </c>
      <c r="C119" s="52">
        <f>NORMSDIST(LN(A119/Calculator!$I$41)/Calculator!$D$30)</f>
        <v>0.99840596442743534</v>
      </c>
      <c r="D119" s="52">
        <f>NORMSDIST(LN(A119/Calculator!$I$42)/Calculator!$D$30)</f>
        <v>0.79382042937093966</v>
      </c>
      <c r="E119" s="52">
        <f>NORMSDIST(LN(A119/Calculator!$I$43)/Calculator!$D$30)</f>
        <v>0.41224429251571132</v>
      </c>
    </row>
    <row r="120" spans="1:5" x14ac:dyDescent="0.25">
      <c r="A120" s="51">
        <v>2.37</v>
      </c>
      <c r="B120" s="52">
        <f>NORMSDIST(LN(A120/Calculator!$I$40)/Calculator!$D$30)</f>
        <v>0.99999928854861686</v>
      </c>
      <c r="C120" s="52">
        <f>NORMSDIST(LN(A120/Calculator!$I$41)/Calculator!$D$30)</f>
        <v>0.99851189056443945</v>
      </c>
      <c r="D120" s="52">
        <f>NORMSDIST(LN(A120/Calculator!$I$42)/Calculator!$D$30)</f>
        <v>0.79980801806456958</v>
      </c>
      <c r="E120" s="52">
        <f>NORMSDIST(LN(A120/Calculator!$I$43)/Calculator!$D$30)</f>
        <v>0.42050997238567361</v>
      </c>
    </row>
    <row r="121" spans="1:5" x14ac:dyDescent="0.25">
      <c r="A121" s="51">
        <v>2.39</v>
      </c>
      <c r="B121" s="52">
        <f>NORMSDIST(LN(A121/Calculator!$I$40)/Calculator!$D$30)</f>
        <v>0.99999935981867594</v>
      </c>
      <c r="C121" s="52">
        <f>NORMSDIST(LN(A121/Calculator!$I$41)/Calculator!$D$30)</f>
        <v>0.99861054668656191</v>
      </c>
      <c r="D121" s="52">
        <f>NORMSDIST(LN(A121/Calculator!$I$42)/Calculator!$D$30)</f>
        <v>0.80564089188368226</v>
      </c>
      <c r="E121" s="52">
        <f>NORMSDIST(LN(A121/Calculator!$I$43)/Calculator!$D$30)</f>
        <v>0.42874096022640462</v>
      </c>
    </row>
    <row r="122" spans="1:5" x14ac:dyDescent="0.25">
      <c r="A122" s="51">
        <v>2.41</v>
      </c>
      <c r="B122" s="52">
        <f>NORMSDIST(LN(A122/Calculator!$I$40)/Calculator!$D$30)</f>
        <v>0.99999942368485928</v>
      </c>
      <c r="C122" s="52">
        <f>NORMSDIST(LN(A122/Calculator!$I$41)/Calculator!$D$30)</f>
        <v>0.99870244604189684</v>
      </c>
      <c r="D122" s="52">
        <f>NORMSDIST(LN(A122/Calculator!$I$42)/Calculator!$D$30)</f>
        <v>0.81132179598637988</v>
      </c>
      <c r="E122" s="52">
        <f>NORMSDIST(LN(A122/Calculator!$I$43)/Calculator!$D$30)</f>
        <v>0.43693408831636227</v>
      </c>
    </row>
    <row r="123" spans="1:5" x14ac:dyDescent="0.25">
      <c r="A123" s="51">
        <v>2.4300000000000002</v>
      </c>
      <c r="B123" s="52">
        <f>NORMSDIST(LN(A123/Calculator!$I$40)/Calculator!$D$30)</f>
        <v>0.99999948094368318</v>
      </c>
      <c r="C123" s="52">
        <f>NORMSDIST(LN(A123/Calculator!$I$41)/Calculator!$D$30)</f>
        <v>0.9987880647881856</v>
      </c>
      <c r="D123" s="52">
        <f>NORMSDIST(LN(A123/Calculator!$I$42)/Calculator!$D$30)</f>
        <v>0.81685351047092802</v>
      </c>
      <c r="E123" s="52">
        <f>NORMSDIST(LN(A123/Calculator!$I$43)/Calculator!$D$30)</f>
        <v>0.44508631835915508</v>
      </c>
    </row>
    <row r="124" spans="1:5" x14ac:dyDescent="0.25">
      <c r="A124" s="51">
        <v>2.4500000000000002</v>
      </c>
      <c r="B124" s="52">
        <f>NORMSDIST(LN(A124/Calculator!$I$40)/Calculator!$D$30)</f>
        <v>0.99999953230304517</v>
      </c>
      <c r="C124" s="52">
        <f>NORMSDIST(LN(A124/Calculator!$I$41)/Calculator!$D$30)</f>
        <v>0.99886784471959855</v>
      </c>
      <c r="D124" s="52">
        <f>NORMSDIST(LN(A124/Calculator!$I$42)/Calculator!$D$30)</f>
        <v>0.82223884316744145</v>
      </c>
      <c r="E124" s="52">
        <f>NORMSDIST(LN(A124/Calculator!$I$43)/Calculator!$D$30)</f>
        <v>0.45319474067381427</v>
      </c>
    </row>
    <row r="125" spans="1:5" x14ac:dyDescent="0.25">
      <c r="A125" s="51">
        <v>2.4700000000000002</v>
      </c>
      <c r="B125" s="52">
        <f>NORMSDIST(LN(A125/Calculator!$I$40)/Calculator!$D$30)</f>
        <v>0.99999957839240727</v>
      </c>
      <c r="C125" s="52">
        <f>NORMSDIST(LN(A125/Calculator!$I$41)/Calculator!$D$30)</f>
        <v>0.99894219579128918</v>
      </c>
      <c r="D125" s="52">
        <f>NORMSDIST(LN(A125/Calculator!$I$42)/Calculator!$D$30)</f>
        <v>0.82748062290212798</v>
      </c>
      <c r="E125" s="52">
        <f>NORMSDIST(LN(A125/Calculator!$I$43)/Calculator!$D$30)</f>
        <v>0.4612565731569479</v>
      </c>
    </row>
    <row r="126" spans="1:5" x14ac:dyDescent="0.25">
      <c r="A126" s="51">
        <v>2.4900000000000002</v>
      </c>
      <c r="B126" s="52">
        <f>NORMSDIST(LN(A126/Calculator!$I$40)/Calculator!$D$30)</f>
        <v>0.99999961977177176</v>
      </c>
      <c r="C126" s="52">
        <f>NORMSDIST(LN(A126/Calculator!$I$41)/Calculator!$D$30)</f>
        <v>0.99901149845665993</v>
      </c>
      <c r="D126" s="52">
        <f>NORMSDIST(LN(A126/Calculator!$I$42)/Calculator!$D$30)</f>
        <v>0.83258169321487241</v>
      </c>
      <c r="E126" s="52">
        <f>NORMSDIST(LN(A126/Calculator!$I$43)/Calculator!$D$30)</f>
        <v>0.46926916003470254</v>
      </c>
    </row>
    <row r="127" spans="1:5" x14ac:dyDescent="0.25">
      <c r="A127" s="51">
        <v>2.5099999999999998</v>
      </c>
      <c r="B127" s="52">
        <f>NORMSDIST(LN(A127/Calculator!$I$40)/Calculator!$D$30)</f>
        <v>0.99999965693959803</v>
      </c>
      <c r="C127" s="52">
        <f>NORMSDIST(LN(A127/Calculator!$I$41)/Calculator!$D$30)</f>
        <v>0.9990761058312071</v>
      </c>
      <c r="D127" s="52">
        <f>NORMSDIST(LN(A127/Calculator!$I$42)/Calculator!$D$30)</f>
        <v>0.83754490651100055</v>
      </c>
      <c r="E127" s="52">
        <f>NORMSDIST(LN(A127/Calculator!$I$43)/Calculator!$D$30)</f>
        <v>0.47722997042178539</v>
      </c>
    </row>
    <row r="128" spans="1:5" x14ac:dyDescent="0.25">
      <c r="A128" s="51">
        <v>2.5299999999999998</v>
      </c>
      <c r="B128" s="52">
        <f>NORMSDIST(LN(A128/Calculator!$I$40)/Calculator!$D$30)</f>
        <v>0.99999969033978797</v>
      </c>
      <c r="C128" s="52">
        <f>NORMSDIST(LN(A128/Calculator!$I$41)/Calculator!$D$30)</f>
        <v>0.99913634569580334</v>
      </c>
      <c r="D128" s="52">
        <f>NORMSDIST(LN(A128/Calculator!$I$42)/Calculator!$D$30)</f>
        <v>0.84237311862820896</v>
      </c>
      <c r="E128" s="52">
        <f>NORMSDIST(LN(A128/Calculator!$I$43)/Calculator!$D$30)</f>
        <v>0.48513659670412779</v>
      </c>
    </row>
    <row r="129" spans="1:5" x14ac:dyDescent="0.25">
      <c r="A129" s="51">
        <v>2.5499999999999998</v>
      </c>
      <c r="B129" s="52">
        <f>NORMSDIST(LN(A129/Calculator!$I$40)/Calculator!$D$30)</f>
        <v>0.99999972036785445</v>
      </c>
      <c r="C129" s="52">
        <f>NORMSDIST(LN(A129/Calculator!$I$41)/Calculator!$D$30)</f>
        <v>0.99919252235134348</v>
      </c>
      <c r="D129" s="52">
        <f>NORMSDIST(LN(A129/Calculator!$I$42)/Calculator!$D$30)</f>
        <v>0.84706918379986529</v>
      </c>
      <c r="E129" s="52">
        <f>NORMSDIST(LN(A129/Calculator!$I$43)/Calculator!$D$30)</f>
        <v>0.4929867527610704</v>
      </c>
    </row>
    <row r="130" spans="1:5" x14ac:dyDescent="0.25">
      <c r="A130" s="51">
        <v>2.57</v>
      </c>
      <c r="B130" s="52">
        <f>NORMSDIST(LN(A130/Calculator!$I$40)/Calculator!$D$30)</f>
        <v>0.99999974737636921</v>
      </c>
      <c r="C130" s="52">
        <f>NORMSDIST(LN(A130/Calculator!$I$41)/Calculator!$D$30)</f>
        <v>0.99924491833580653</v>
      </c>
      <c r="D130" s="52">
        <f>NORMSDIST(LN(A130/Calculator!$I$42)/Calculator!$D$30)</f>
        <v>0.85163594999617565</v>
      </c>
      <c r="E130" s="52">
        <f>NORMSDIST(LN(A130/Calculator!$I$43)/Calculator!$D$30)</f>
        <v>0.50077827204226999</v>
      </c>
    </row>
    <row r="131" spans="1:5" x14ac:dyDescent="0.25">
      <c r="A131" s="51">
        <v>2.59</v>
      </c>
      <c r="B131" s="52">
        <f>NORMSDIST(LN(A131/Calculator!$I$40)/Calculator!$D$30)</f>
        <v>0.99999977167977849</v>
      </c>
      <c r="C131" s="52">
        <f>NORMSDIST(LN(A131/Calculator!$I$41)/Calculator!$D$30)</f>
        <v>0.99929379601397617</v>
      </c>
      <c r="D131" s="52">
        <f>NORMSDIST(LN(A131/Calculator!$I$42)/Calculator!$D$30)</f>
        <v>0.85607625462505277</v>
      </c>
      <c r="E131" s="52">
        <f>NORMSDIST(LN(A131/Calculator!$I$43)/Calculator!$D$30)</f>
        <v>0.508509105513828</v>
      </c>
    </row>
    <row r="132" spans="1:5" x14ac:dyDescent="0.25">
      <c r="A132" s="51">
        <v>2.61</v>
      </c>
      <c r="B132" s="52">
        <f>NORMSDIST(LN(A132/Calculator!$I$40)/Calculator!$D$30)</f>
        <v>0.99999979355866198</v>
      </c>
      <c r="C132" s="52">
        <f>NORMSDIST(LN(A132/Calculator!$I$41)/Calculator!$D$30)</f>
        <v>0.99933939904930968</v>
      </c>
      <c r="D132" s="52">
        <f>NORMSDIST(LN(A132/Calculator!$I$42)/Calculator!$D$30)</f>
        <v>0.86039292057491712</v>
      </c>
      <c r="E132" s="52">
        <f>NORMSDIST(LN(A132/Calculator!$I$43)/Calculator!$D$30)</f>
        <v>0.51617731948744972</v>
      </c>
    </row>
    <row r="133" spans="1:5" x14ac:dyDescent="0.25">
      <c r="A133" s="51">
        <v>2.63</v>
      </c>
      <c r="B133" s="52">
        <f>NORMSDIST(LN(A133/Calculator!$I$40)/Calculator!$D$30)</f>
        <v>0.99999981326349996</v>
      </c>
      <c r="C133" s="52">
        <f>NORMSDIST(LN(A133/Calculator!$I$41)/Calculator!$D$30)</f>
        <v>0.99938195376674244</v>
      </c>
      <c r="D133" s="52">
        <f>NORMSDIST(LN(A133/Calculator!$I$42)/Calculator!$D$30)</f>
        <v>0.86458875258208867</v>
      </c>
      <c r="E133" s="52">
        <f>NORMSDIST(LN(A133/Calculator!$I$43)/Calculator!$D$30)</f>
        <v>0.52378109334576584</v>
      </c>
    </row>
    <row r="134" spans="1:5" x14ac:dyDescent="0.25">
      <c r="A134" s="51">
        <v>2.65</v>
      </c>
      <c r="B134" s="52">
        <f>NORMSDIST(LN(A134/Calculator!$I$40)/Calculator!$D$30)</f>
        <v>0.99999983101800904</v>
      </c>
      <c r="C134" s="52">
        <f>NORMSDIST(LN(A134/Calculator!$I$41)/Calculator!$D$30)</f>
        <v>0.99942167041456731</v>
      </c>
      <c r="D134" s="52">
        <f>NORMSDIST(LN(A134/Calculator!$I$42)/Calculator!$D$30)</f>
        <v>0.86866653390589221</v>
      </c>
      <c r="E134" s="52">
        <f>NORMSDIST(LN(A134/Calculator!$I$43)/Calculator!$D$30)</f>
        <v>0.53131871717626877</v>
      </c>
    </row>
    <row r="135" spans="1:5" x14ac:dyDescent="0.25">
      <c r="A135" s="51">
        <v>2.67</v>
      </c>
      <c r="B135" s="52">
        <f>NORMSDIST(LN(A135/Calculator!$I$40)/Calculator!$D$30)</f>
        <v>0.99999984702209577</v>
      </c>
      <c r="C135" s="52">
        <f>NORMSDIST(LN(A135/Calculator!$I$41)/Calculator!$D$30)</f>
        <v>0.99945874433292314</v>
      </c>
      <c r="D135" s="52">
        <f>NORMSDIST(LN(A135/Calculator!$I$42)/Calculator!$D$30)</f>
        <v>0.87262902329509273</v>
      </c>
      <c r="E135" s="52">
        <f>NORMSDIST(LN(A135/Calculator!$I$43)/Calculator!$D$30)</f>
        <v>0.53878858932565254</v>
      </c>
    </row>
    <row r="136" spans="1:5" x14ac:dyDescent="0.25">
      <c r="A136" s="51">
        <v>2.69</v>
      </c>
      <c r="B136" s="52">
        <f>NORMSDIST(LN(A136/Calculator!$I$40)/Calculator!$D$30)</f>
        <v>0.99999986145447473</v>
      </c>
      <c r="C136" s="52">
        <f>NORMSDIST(LN(A136/Calculator!$I$41)/Calculator!$D$30)</f>
        <v>0.99949335703586528</v>
      </c>
      <c r="D136" s="52">
        <f>NORMSDIST(LN(A136/Calculator!$I$42)/Calculator!$D$30)</f>
        <v>0.87647895222978101</v>
      </c>
      <c r="E136" s="52">
        <f>NORMSDIST(LN(A136/Calculator!$I$43)/Calculator!$D$30)</f>
        <v>0.54618921388569575</v>
      </c>
    </row>
    <row r="137" spans="1:5" x14ac:dyDescent="0.25">
      <c r="A137" s="51">
        <v>2.71</v>
      </c>
      <c r="B137" s="52">
        <f>NORMSDIST(LN(A137/Calculator!$I$40)/Calculator!$D$30)</f>
        <v>0.99999987447498884</v>
      </c>
      <c r="C137" s="52">
        <f>NORMSDIST(LN(A137/Calculator!$I$41)/Calculator!$D$30)</f>
        <v>0.99952567721347474</v>
      </c>
      <c r="D137" s="52">
        <f>NORMSDIST(LN(A137/Calculator!$I$42)/Calculator!$D$30)</f>
        <v>0.88021902242336114</v>
      </c>
      <c r="E137" s="52">
        <f>NORMSDIST(LN(A137/Calculator!$I$43)/Calculator!$D$30)</f>
        <v>0.55351919812119044</v>
      </c>
    </row>
    <row r="138" spans="1:5" x14ac:dyDescent="0.25">
      <c r="A138" s="51">
        <v>2.73</v>
      </c>
      <c r="B138" s="52">
        <f>NORMSDIST(LN(A138/Calculator!$I$40)/Calculator!$D$30)</f>
        <v>0.99999988622666791</v>
      </c>
      <c r="C138" s="52">
        <f>NORMSDIST(LN(A138/Calculator!$I$41)/Calculator!$D$30)</f>
        <v>0.9995558616599779</v>
      </c>
      <c r="D138" s="52">
        <f>NORMSDIST(LN(A138/Calculator!$I$42)/Calculator!$D$30)</f>
        <v>0.88385190356982768</v>
      </c>
      <c r="E138" s="52">
        <f>NORMSDIST(LN(A138/Calculator!$I$43)/Calculator!$D$30)</f>
        <v>0.56077724984980071</v>
      </c>
    </row>
    <row r="139" spans="1:5" x14ac:dyDescent="0.25">
      <c r="A139" s="51">
        <v>2.75</v>
      </c>
      <c r="B139" s="52">
        <f>NORMSDIST(LN(A139/Calculator!$I$40)/Calculator!$D$30)</f>
        <v>0.99999989683755575</v>
      </c>
      <c r="C139" s="52">
        <f>NORMSDIST(LN(A139/Calculator!$I$41)/Calculator!$D$30)</f>
        <v>0.99958405613340362</v>
      </c>
      <c r="D139" s="52">
        <f>NORMSDIST(LN(A139/Calculator!$I$42)/Calculator!$D$30)</f>
        <v>0.88738023132205912</v>
      </c>
      <c r="E139" s="52">
        <f>NORMSDIST(LN(A139/Calculator!$I$43)/Calculator!$D$30)</f>
        <v>0.56796217478312916</v>
      </c>
    </row>
    <row r="140" spans="1:5" x14ac:dyDescent="0.25">
      <c r="A140" s="51">
        <v>2.77</v>
      </c>
      <c r="B140" s="52">
        <f>NORMSDIST(LN(A140/Calculator!$I$40)/Calculator!$D$30)</f>
        <v>0.99999990642233172</v>
      </c>
      <c r="C140" s="52">
        <f>NORMSDIST(LN(A140/Calculator!$I$41)/Calculator!$D$30)</f>
        <v>0.99961039615189051</v>
      </c>
      <c r="D140" s="52">
        <f>NORMSDIST(LN(A140/Calculator!$I$42)/Calculator!$D$30)</f>
        <v>0.89080660548740931</v>
      </c>
      <c r="E140" s="52">
        <f>NORMSDIST(LN(A140/Calculator!$I$43)/Calculator!$D$30)</f>
        <v>0.57507287383768868</v>
      </c>
    </row>
    <row r="141" spans="1:5" x14ac:dyDescent="0.25">
      <c r="A141" s="51">
        <v>2.79</v>
      </c>
      <c r="B141" s="52">
        <f>NORMSDIST(LN(A141/Calculator!$I$40)/Calculator!$D$30)</f>
        <v>0.9999999150837523</v>
      </c>
      <c r="C141" s="52">
        <f>NORMSDIST(LN(A141/Calculator!$I$41)/Calculator!$D$30)</f>
        <v>0.99963500773137548</v>
      </c>
      <c r="D141" s="52">
        <f>NORMSDIST(LN(A141/Calculator!$I$42)/Calculator!$D$30)</f>
        <v>0.89413358842741764</v>
      </c>
      <c r="E141" s="52">
        <f>NORMSDIST(LN(A141/Calculator!$I$43)/Calculator!$D$30)</f>
        <v>0.58210834042390869</v>
      </c>
    </row>
    <row r="142" spans="1:5" x14ac:dyDescent="0.25">
      <c r="A142" s="51">
        <v>2.81</v>
      </c>
      <c r="B142" s="52">
        <f>NORMSDIST(LN(A142/Calculator!$I$40)/Calculator!$D$30)</f>
        <v>0.99999992291393081</v>
      </c>
      <c r="C142" s="52">
        <f>NORMSDIST(LN(A142/Calculator!$I$41)/Calculator!$D$30)</f>
        <v>0.99965800806903804</v>
      </c>
      <c r="D142" s="52">
        <f>NORMSDIST(LN(A142/Calculator!$I$42)/Calculator!$D$30)</f>
        <v>0.89736370364900753</v>
      </c>
      <c r="E142" s="52">
        <f>NORMSDIST(LN(A142/Calculator!$I$43)/Calculator!$D$30)</f>
        <v>0.58906765772076153</v>
      </c>
    </row>
    <row r="143" spans="1:5" x14ac:dyDescent="0.25">
      <c r="A143" s="51">
        <v>2.83</v>
      </c>
      <c r="B143" s="52">
        <f>NORMSDIST(LN(A143/Calculator!$I$40)/Calculator!$D$30)</f>
        <v>0.99999992999547682</v>
      </c>
      <c r="C143" s="52">
        <f>NORMSDIST(LN(A143/Calculator!$I$41)/Calculator!$D$30)</f>
        <v>0.99967950617654799</v>
      </c>
      <c r="D143" s="52">
        <f>NORMSDIST(LN(A143/Calculator!$I$42)/Calculator!$D$30)</f>
        <v>0.90049943457508219</v>
      </c>
      <c r="E143" s="52">
        <f>NORMSDIST(LN(A143/Calculator!$I$43)/Calculator!$D$30)</f>
        <v>0.59594999594306464</v>
      </c>
    </row>
    <row r="144" spans="1:5" x14ac:dyDescent="0.25">
      <c r="A144" s="51">
        <v>2.85</v>
      </c>
      <c r="B144" s="52">
        <f>NORMSDIST(LN(A144/Calculator!$I$40)/Calculator!$D$30)</f>
        <v>0.99999993640250906</v>
      </c>
      <c r="C144" s="52">
        <f>NORMSDIST(LN(A144/Calculator!$I$41)/Calculator!$D$30)</f>
        <v>0.99969960346685893</v>
      </c>
      <c r="D144" s="52">
        <f>NORMSDIST(LN(A144/Calculator!$I$42)/Calculator!$D$30)</f>
        <v>0.90354322348295846</v>
      </c>
      <c r="E144" s="52">
        <f>NORMSDIST(LN(A144/Calculator!$I$43)/Calculator!$D$30)</f>
        <v>0.60275460960801497</v>
      </c>
    </row>
    <row r="145" spans="1:5" x14ac:dyDescent="0.25">
      <c r="A145" s="51">
        <v>2.87</v>
      </c>
      <c r="B145" s="52">
        <f>NORMSDIST(LN(A145/Calculator!$I$40)/Calculator!$D$30)</f>
        <v>0.9999999422015563</v>
      </c>
      <c r="C145" s="52">
        <f>NORMSDIST(LN(A145/Calculator!$I$41)/Calculator!$D$30)</f>
        <v>0.99971839429801168</v>
      </c>
      <c r="D145" s="52">
        <f>NORMSDIST(LN(A145/Calculator!$I$42)/Calculator!$D$30)</f>
        <v>0.90649747059960029</v>
      </c>
      <c r="E145" s="52">
        <f>NORMSDIST(LN(A145/Calculator!$I$43)/Calculator!$D$30)</f>
        <v>0.60948083480702031</v>
      </c>
    </row>
    <row r="146" spans="1:5" x14ac:dyDescent="0.25">
      <c r="A146" s="51">
        <v>2.89</v>
      </c>
      <c r="B146" s="52">
        <f>NORMSDIST(LN(A146/Calculator!$I$40)/Calculator!$D$30)</f>
        <v>0.99999994745236109</v>
      </c>
      <c r="C146" s="52">
        <f>NORMSDIST(LN(A146/Calculator!$I$41)/Calculator!$D$30)</f>
        <v>0.99973596647714613</v>
      </c>
      <c r="D146" s="52">
        <f>NORMSDIST(LN(A146/Calculator!$I$42)/Calculator!$D$30)</f>
        <v>0.90936453334313472</v>
      </c>
      <c r="E146" s="52">
        <f>NORMSDIST(LN(A146/Calculator!$I$43)/Calculator!$D$30)</f>
        <v>0.61612808648843154</v>
      </c>
    </row>
    <row r="147" spans="1:5" x14ac:dyDescent="0.25">
      <c r="A147" s="51">
        <v>2.91</v>
      </c>
      <c r="B147" s="52">
        <f>NORMSDIST(LN(A147/Calculator!$I$40)/Calculator!$D$30)</f>
        <v>0.99999995220859439</v>
      </c>
      <c r="C147" s="52">
        <f>NORMSDIST(LN(A147/Calculator!$I$41)/Calculator!$D$30)</f>
        <v>0.99975240172768676</v>
      </c>
      <c r="D147" s="52">
        <f>NORMSDIST(LN(A147/Calculator!$I$42)/Calculator!$D$30)</f>
        <v>0.91214672570062405</v>
      </c>
      <c r="E147" s="52">
        <f>NORMSDIST(LN(A147/Calculator!$I$43)/Calculator!$D$30)</f>
        <v>0.62269585575633501</v>
      </c>
    </row>
    <row r="148" spans="1:5" x14ac:dyDescent="0.25">
      <c r="A148" s="51">
        <v>2.93</v>
      </c>
      <c r="B148" s="52">
        <f>NORMSDIST(LN(A148/Calculator!$I$40)/Calculator!$D$30)</f>
        <v>0.99999995651849283</v>
      </c>
      <c r="C148" s="52">
        <f>NORMSDIST(LN(A148/Calculator!$I$41)/Calculator!$D$30)</f>
        <v>0.99976777612243606</v>
      </c>
      <c r="D148" s="52">
        <f>NORMSDIST(LN(A148/Calculator!$I$42)/Calculator!$D$30)</f>
        <v>0.91484631773256964</v>
      </c>
      <c r="E148" s="52">
        <f>NORMSDIST(LN(A148/Calculator!$I$43)/Calculator!$D$30)</f>
        <v>0.62918370719013861</v>
      </c>
    </row>
    <row r="149" spans="1:5" x14ac:dyDescent="0.25">
      <c r="A149" s="51">
        <v>2.95</v>
      </c>
      <c r="B149" s="52">
        <f>NORMSDIST(LN(A149/Calculator!$I$40)/Calculator!$D$30)</f>
        <v>0.99999996042542749</v>
      </c>
      <c r="C149" s="52">
        <f>NORMSDIST(LN(A149/Calculator!$I$41)/Calculator!$D$30)</f>
        <v>0.99978216048511326</v>
      </c>
      <c r="D149" s="52">
        <f>NORMSDIST(LN(A149/Calculator!$I$42)/Calculator!$D$30)</f>
        <v>0.91746553519508744</v>
      </c>
      <c r="E149" s="52">
        <f>NORMSDIST(LN(A149/Calculator!$I$43)/Calculator!$D$30)</f>
        <v>0.63559127618928302</v>
      </c>
    </row>
    <row r="150" spans="1:5" x14ac:dyDescent="0.25">
      <c r="A150" s="51">
        <v>2.97</v>
      </c>
      <c r="B150" s="52">
        <f>NORMSDIST(LN(A150/Calculator!$I$40)/Calculator!$D$30)</f>
        <v>0.99999996396841095</v>
      </c>
      <c r="C150" s="52">
        <f>NORMSDIST(LN(A150/Calculator!$I$41)/Calculator!$D$30)</f>
        <v>0.99979562076267614</v>
      </c>
      <c r="D150" s="52">
        <f>NORMSDIST(LN(A150/Calculator!$I$42)/Calculator!$D$30)</f>
        <v>0.92000655927116481</v>
      </c>
      <c r="E150" s="52">
        <f>NORMSDIST(LN(A150/Calculator!$I$43)/Calculator!$D$30)</f>
        <v>0.64191826634702465</v>
      </c>
    </row>
    <row r="151" spans="1:5" x14ac:dyDescent="0.25">
      <c r="A151" s="51">
        <v>2.99</v>
      </c>
      <c r="B151" s="52">
        <f>NORMSDIST(LN(A151/Calculator!$I$40)/Calculator!$D$30)</f>
        <v>0.99999996718254935</v>
      </c>
      <c r="C151" s="52">
        <f>NORMSDIST(LN(A151/Calculator!$I$41)/Calculator!$D$30)</f>
        <v>0.99980821837059608</v>
      </c>
      <c r="D151" s="52">
        <f>NORMSDIST(LN(A151/Calculator!$I$42)/Calculator!$D$30)</f>
        <v>0.92247152640285413</v>
      </c>
      <c r="E151" s="52">
        <f>NORMSDIST(LN(A151/Calculator!$I$43)/Calculator!$D$30)</f>
        <v>0.64816444685687113</v>
      </c>
    </row>
    <row r="152" spans="1:5" x14ac:dyDescent="0.25">
      <c r="A152" s="51">
        <v>3.01</v>
      </c>
      <c r="B152" s="52">
        <f>NORMSDIST(LN(A152/Calculator!$I$40)/Calculator!$D$30)</f>
        <v>0.99999997009944663</v>
      </c>
      <c r="C152" s="52">
        <f>NORMSDIST(LN(A152/Calculator!$I$41)/Calculator!$D$30)</f>
        <v>0.99982001051308733</v>
      </c>
      <c r="D152" s="52">
        <f>NORMSDIST(LN(A152/Calculator!$I$42)/Calculator!$D$30)</f>
        <v>0.92486252821668802</v>
      </c>
      <c r="E152" s="52">
        <f>NORMSDIST(LN(A152/Calculator!$I$43)/Calculator!$D$30)</f>
        <v>0.65432964995490472</v>
      </c>
    </row>
    <row r="153" spans="1:5" x14ac:dyDescent="0.25">
      <c r="A153" s="51">
        <v>3.03</v>
      </c>
      <c r="B153" s="52">
        <f>NORMSDIST(LN(A153/Calculator!$I$40)/Calculator!$D$30)</f>
        <v>0.99999997274756569</v>
      </c>
      <c r="C153" s="52">
        <f>NORMSDIST(LN(A153/Calculator!$I$41)/Calculator!$D$30)</f>
        <v>0.9998310504801452</v>
      </c>
      <c r="D153" s="52">
        <f>NORMSDIST(LN(A153/Calculator!$I$42)/Calculator!$D$30)</f>
        <v>0.92718161153502243</v>
      </c>
      <c r="E153" s="52">
        <f>NORMSDIST(LN(A153/Calculator!$I$43)/Calculator!$D$30)</f>
        <v>0.66041376840090393</v>
      </c>
    </row>
    <row r="154" spans="1:5" x14ac:dyDescent="0.25">
      <c r="A154" s="51">
        <v>3.05</v>
      </c>
      <c r="B154" s="52">
        <f>NORMSDIST(LN(A154/Calculator!$I$40)/Calculator!$D$30)</f>
        <v>0.99999997515255046</v>
      </c>
      <c r="C154" s="52">
        <f>NORMSDIST(LN(A154/Calculator!$I$41)/Calculator!$D$30)</f>
        <v>0.99984138792310617</v>
      </c>
      <c r="D154" s="52">
        <f>NORMSDIST(LN(A154/Calculator!$I$42)/Calculator!$D$30)</f>
        <v>0.92943077846641442</v>
      </c>
      <c r="E154" s="52">
        <f>NORMSDIST(LN(A154/Calculator!$I$43)/Calculator!$D$30)</f>
        <v>0.66641675300085823</v>
      </c>
    </row>
    <row r="155" spans="1:5" x14ac:dyDescent="0.25">
      <c r="A155" s="51">
        <v>3.07</v>
      </c>
      <c r="B155" s="52">
        <f>NORMSDIST(LN(A155/Calculator!$I$40)/Calculator!$D$30)</f>
        <v>0.99999997733751478</v>
      </c>
      <c r="C155" s="52">
        <f>NORMSDIST(LN(A155/Calculator!$I$41)/Calculator!$D$30)</f>
        <v>0.99985106911031629</v>
      </c>
      <c r="D155" s="52">
        <f>NORMSDIST(LN(A155/Calculator!$I$42)/Calculator!$D$30)</f>
        <v>0.93161198656852628</v>
      </c>
      <c r="E155" s="52">
        <f>NORMSDIST(LN(A155/Calculator!$I$43)/Calculator!$D$30)</f>
        <v>0.67233861017318719</v>
      </c>
    </row>
    <row r="156" spans="1:5" x14ac:dyDescent="0.25">
      <c r="A156" s="51">
        <v>3.09</v>
      </c>
      <c r="B156" s="52">
        <f>NORMSDIST(LN(A156/Calculator!$I$40)/Calculator!$D$30)</f>
        <v>0.99999997932329987</v>
      </c>
      <c r="C156" s="52">
        <f>NORMSDIST(LN(A156/Calculator!$I$41)/Calculator!$D$30)</f>
        <v>0.99986013716437327</v>
      </c>
      <c r="D156" s="52">
        <f>NORMSDIST(LN(A156/Calculator!$I$42)/Calculator!$D$30)</f>
        <v>0.93372714907742227</v>
      </c>
      <c r="E156" s="52">
        <f>NORMSDIST(LN(A156/Calculator!$I$43)/Calculator!$D$30)</f>
        <v>0.6781793995606914</v>
      </c>
    </row>
    <row r="157" spans="1:5" x14ac:dyDescent="0.25">
      <c r="A157" s="51">
        <v>3.11</v>
      </c>
      <c r="B157" s="52">
        <f>NORMSDIST(LN(A157/Calculator!$I$40)/Calculator!$D$30)</f>
        <v>0.99999998112870536</v>
      </c>
      <c r="C157" s="52">
        <f>NORMSDIST(LN(A157/Calculator!$I$41)/Calculator!$D$30)</f>
        <v>0.99986863228230061</v>
      </c>
      <c r="D157" s="52">
        <f>NORMSDIST(LN(A157/Calculator!$I$42)/Calculator!$D$30)</f>
        <v>0.93577813519747899</v>
      </c>
      <c r="E157" s="52">
        <f>NORMSDIST(LN(A157/Calculator!$I$43)/Calculator!$D$30)</f>
        <v>0.6839392316900117</v>
      </c>
    </row>
    <row r="158" spans="1:5" x14ac:dyDescent="0.25">
      <c r="A158" s="51">
        <v>3.13</v>
      </c>
      <c r="B158" s="52">
        <f>NORMSDIST(LN(A158/Calculator!$I$40)/Calculator!$D$30)</f>
        <v>0.99999998277069579</v>
      </c>
      <c r="C158" s="52">
        <f>NORMSDIST(LN(A158/Calculator!$I$41)/Calculator!$D$30)</f>
        <v>0.99987659193990686</v>
      </c>
      <c r="D158" s="52">
        <f>NORMSDIST(LN(A158/Calculator!$I$42)/Calculator!$D$30)</f>
        <v>0.93776677044646906</v>
      </c>
      <c r="E158" s="52">
        <f>NORMSDIST(LN(A158/Calculator!$I$43)/Calculator!$D$30)</f>
        <v>0.68961826568012574</v>
      </c>
    </row>
    <row r="159" spans="1:5" x14ac:dyDescent="0.25">
      <c r="A159" s="51">
        <v>3.15</v>
      </c>
      <c r="B159" s="52">
        <f>NORMSDIST(LN(A159/Calculator!$I$40)/Calculator!$D$30)</f>
        <v>0.9999999842645857</v>
      </c>
      <c r="C159" s="52">
        <f>NORMSDIST(LN(A159/Calculator!$I$41)/Calculator!$D$30)</f>
        <v>0.99988405108149347</v>
      </c>
      <c r="D159" s="52">
        <f>NORMSDIST(LN(A159/Calculator!$I$42)/Calculator!$D$30)</f>
        <v>0.93969483705070966</v>
      </c>
      <c r="E159" s="52">
        <f>NORMSDIST(LN(A159/Calculator!$I$43)/Calculator!$D$30)</f>
        <v>0.69521670700118465</v>
      </c>
    </row>
    <row r="160" spans="1:5" x14ac:dyDescent="0.25">
      <c r="A160" s="51">
        <v>3.17</v>
      </c>
      <c r="B160" s="52">
        <f>NORMSDIST(LN(A160/Calculator!$I$40)/Calculator!$D$30)</f>
        <v>0.99999998562420545</v>
      </c>
      <c r="C160" s="52">
        <f>NORMSDIST(LN(A160/Calculator!$I$41)/Calculator!$D$30)</f>
        <v>0.99989104229598369</v>
      </c>
      <c r="D160" s="52">
        <f>NORMSDIST(LN(A160/Calculator!$I$42)/Calculator!$D$30)</f>
        <v>0.94156407438547307</v>
      </c>
      <c r="E160" s="52">
        <f>NORMSDIST(LN(A160/Calculator!$I$43)/Calculator!$D$30)</f>
        <v>0.7007348052847796</v>
      </c>
    </row>
    <row r="161" spans="1:5" x14ac:dyDescent="0.25">
      <c r="A161" s="51">
        <v>3.19</v>
      </c>
      <c r="B161" s="52">
        <f>NORMSDIST(LN(A161/Calculator!$I$40)/Calculator!$D$30)</f>
        <v>0.99999998686204961</v>
      </c>
      <c r="C161" s="52">
        <f>NORMSDIST(LN(A161/Calculator!$I$41)/Calculator!$D$30)</f>
        <v>0.99989759598046779</v>
      </c>
      <c r="D161" s="52">
        <f>NORMSDIST(LN(A161/Calculator!$I$42)/Calculator!$D$30)</f>
        <v>0.9433761794561587</v>
      </c>
      <c r="E161" s="52">
        <f>NORMSDIST(LN(A161/Calculator!$I$43)/Calculator!$D$30)</f>
        <v>0.70617285218653225</v>
      </c>
    </row>
    <row r="162" spans="1:5" x14ac:dyDescent="0.25">
      <c r="A162" s="51">
        <v>3.21</v>
      </c>
      <c r="B162" s="52">
        <f>NORMSDIST(LN(A162/Calculator!$I$40)/Calculator!$D$30)</f>
        <v>0.99999998798941059</v>
      </c>
      <c r="C162" s="52">
        <f>NORMSDIST(LN(A162/Calculator!$I$41)/Calculator!$D$30)</f>
        <v>0.99990374049208508</v>
      </c>
      <c r="D162" s="52">
        <f>NORMSDIST(LN(A162/Calculator!$I$42)/Calculator!$D$30)</f>
        <v>0.9451328074160058</v>
      </c>
      <c r="E162" s="52">
        <f>NORMSDIST(LN(A162/Calculator!$I$43)/Calculator!$D$30)</f>
        <v>0.71153117930170973</v>
      </c>
    </row>
    <row r="163" spans="1:5" x14ac:dyDescent="0.25">
      <c r="A163" s="51">
        <v>3.23</v>
      </c>
      <c r="B163" s="52">
        <f>NORMSDIST(LN(A163/Calculator!$I$40)/Calculator!$D$30)</f>
        <v>0.99999998901649767</v>
      </c>
      <c r="C163" s="52">
        <f>NORMSDIST(LN(A163/Calculator!$I$41)/Calculator!$D$30)</f>
        <v>0.99990950228909325</v>
      </c>
      <c r="D163" s="52">
        <f>NORMSDIST(LN(A163/Calculator!$I$42)/Calculator!$D$30)</f>
        <v>0.94683557211640046</v>
      </c>
      <c r="E163" s="52">
        <f>NORMSDIST(LN(A163/Calculator!$I$43)/Calculator!$D$30)</f>
        <v>0.71681015613440346</v>
      </c>
    </row>
    <row r="164" spans="1:5" x14ac:dyDescent="0.25">
      <c r="A164" s="51">
        <v>3.25</v>
      </c>
      <c r="B164" s="52">
        <f>NORMSDIST(LN(A164/Calculator!$I$40)/Calculator!$D$30)</f>
        <v>0.99999998995254469</v>
      </c>
      <c r="C164" s="52">
        <f>NORMSDIST(LN(A164/Calculator!$I$41)/Calculator!$D$30)</f>
        <v>0.99991490606191336</v>
      </c>
      <c r="D164" s="52">
        <f>NORMSDIST(LN(A164/Calculator!$I$42)/Calculator!$D$30)</f>
        <v>0.94848604668608094</v>
      </c>
      <c r="E164" s="52">
        <f>NORMSDIST(LN(A164/Calculator!$I$43)/Calculator!$D$30)</f>
        <v>0.7220101881206421</v>
      </c>
    </row>
    <row r="165" spans="1:5" x14ac:dyDescent="0.25">
      <c r="A165" s="51">
        <v>3.27</v>
      </c>
      <c r="B165" s="52">
        <f>NORMSDIST(LN(A165/Calculator!$I$40)/Calculator!$D$30)</f>
        <v>0.99999999080590618</v>
      </c>
      <c r="C165" s="52">
        <f>NORMSDIST(LN(A165/Calculator!$I$41)/Calculator!$D$30)</f>
        <v>0.99991997485488093</v>
      </c>
      <c r="D165" s="52">
        <f>NORMSDIST(LN(A165/Calculator!$I$42)/Calculator!$D$30)</f>
        <v>0.95008576413579771</v>
      </c>
      <c r="E165" s="52">
        <f>NORMSDIST(LN(A165/Calculator!$I$43)/Calculator!$D$30)</f>
        <v>0.72713171470566362</v>
      </c>
    </row>
    <row r="166" spans="1:5" x14ac:dyDescent="0.25">
      <c r="A166" s="51">
        <v>3.29</v>
      </c>
      <c r="B166" s="52">
        <f>NORMSDIST(LN(A166/Calculator!$I$40)/Calculator!$D$30)</f>
        <v>0.99999999158414377</v>
      </c>
      <c r="C166" s="52">
        <f>NORMSDIST(LN(A166/Calculator!$I$41)/Calculator!$D$30)</f>
        <v>0.99992473017937733</v>
      </c>
      <c r="D166" s="52">
        <f>NORMSDIST(LN(A166/Calculator!$I$42)/Calculator!$D$30)</f>
        <v>0.95163621798520825</v>
      </c>
      <c r="E166" s="52">
        <f>NORMSDIST(LN(A166/Calculator!$I$43)/Calculator!$D$30)</f>
        <v>0.73217520747543641</v>
      </c>
    </row>
    <row r="167" spans="1:5" x14ac:dyDescent="0.25">
      <c r="A167" s="51">
        <v>3.31</v>
      </c>
      <c r="B167" s="52">
        <f>NORMSDIST(LN(A167/Calculator!$I$40)/Calculator!$D$30)</f>
        <v>0.99999999229410408</v>
      </c>
      <c r="C167" s="52">
        <f>NORMSDIST(LN(A167/Calculator!$I$41)/Calculator!$D$30)</f>
        <v>0.99992919211896758</v>
      </c>
      <c r="D167" s="52">
        <f>NORMSDIST(LN(A167/Calculator!$I$42)/Calculator!$D$30)</f>
        <v>0.9531388629090114</v>
      </c>
      <c r="E167" s="52">
        <f>NORMSDIST(LN(A167/Calculator!$I$43)/Calculator!$D$30)</f>
        <v>0.73714116834238952</v>
      </c>
    </row>
    <row r="168" spans="1:5" x14ac:dyDescent="0.25">
      <c r="A168" s="51">
        <v>3.33</v>
      </c>
      <c r="B168" s="52">
        <f>NORMSDIST(LN(A168/Calculator!$I$40)/Calculator!$D$30)</f>
        <v>0.99999999294198838</v>
      </c>
      <c r="C168" s="52">
        <f>NORMSDIST(LN(A168/Calculator!$I$41)/Calculator!$D$30)</f>
        <v>0.99993337942712324</v>
      </c>
      <c r="D168" s="52">
        <f>NORMSDIST(LN(A168/Calculator!$I$42)/Calculator!$D$30)</f>
        <v>0.95459511539953312</v>
      </c>
      <c r="E168" s="52">
        <f>NORMSDIST(LN(A168/Calculator!$I$43)/Calculator!$D$30)</f>
        <v>0.74203012778519883</v>
      </c>
    </row>
    <row r="169" spans="1:5" x14ac:dyDescent="0.25">
      <c r="A169" s="51">
        <v>3.35</v>
      </c>
      <c r="B169" s="52">
        <f>NORMSDIST(LN(A169/Calculator!$I$40)/Calculator!$D$30)</f>
        <v>0.99999999353341562</v>
      </c>
      <c r="C169" s="52">
        <f>NORMSDIST(LN(A169/Calculator!$I$41)/Calculator!$D$30)</f>
        <v>0.99993730961806604</v>
      </c>
      <c r="D169" s="52">
        <f>NORMSDIST(LN(A169/Calculator!$I$42)/Calculator!$D$30)</f>
        <v>0.95600635444317117</v>
      </c>
      <c r="E169" s="52">
        <f>NORMSDIST(LN(A169/Calculator!$I$43)/Calculator!$D$30)</f>
        <v>0.74684264314236626</v>
      </c>
    </row>
    <row r="170" spans="1:5" x14ac:dyDescent="0.25">
      <c r="A170" s="51">
        <v>3.37</v>
      </c>
      <c r="B170" s="52">
        <f>NORMSDIST(LN(A170/Calculator!$I$40)/Calculator!$D$30)</f>
        <v>0.99999999407347884</v>
      </c>
      <c r="C170" s="52">
        <f>NORMSDIST(LN(A170/Calculator!$I$41)/Calculator!$D$30)</f>
        <v>0.99994099905123002</v>
      </c>
      <c r="D170" s="52">
        <f>NORMSDIST(LN(A170/Calculator!$I$42)/Calculator!$D$30)</f>
        <v>0.95737392220829509</v>
      </c>
      <c r="E170" s="52">
        <f>NORMSDIST(LN(A170/Calculator!$I$43)/Calculator!$D$30)</f>
        <v>0.75157929695923409</v>
      </c>
    </row>
    <row r="171" spans="1:5" x14ac:dyDescent="0.25">
      <c r="A171" s="51">
        <v>3.39</v>
      </c>
      <c r="B171" s="52">
        <f>NORMSDIST(LN(A171/Calculator!$I$40)/Calculator!$D$30)</f>
        <v>0.99999999456679578</v>
      </c>
      <c r="C171" s="52">
        <f>NORMSDIST(LN(A171/Calculator!$I$41)/Calculator!$D$30)</f>
        <v>0.999944463009801</v>
      </c>
      <c r="D171" s="52">
        <f>NORMSDIST(LN(A171/Calculator!$I$42)/Calculator!$D$30)</f>
        <v>0.95869912474237218</v>
      </c>
      <c r="E171" s="52">
        <f>NORMSDIST(LN(A171/Calculator!$I$43)/Calculator!$D$30)</f>
        <v>0.75624069538798611</v>
      </c>
    </row>
    <row r="172" spans="1:5" x14ac:dyDescent="0.25">
      <c r="A172" s="51">
        <v>3.41</v>
      </c>
      <c r="B172" s="52">
        <f>NORMSDIST(LN(A172/Calculator!$I$40)/Calculator!$D$30)</f>
        <v>0.99999999501755521</v>
      </c>
      <c r="C172" s="52">
        <f>NORMSDIST(LN(A172/Calculator!$I$41)/Calculator!$D$30)</f>
        <v>0.9999477157737594</v>
      </c>
      <c r="D172" s="52">
        <f>NORMSDIST(LN(A172/Calculator!$I$42)/Calculator!$D$30)</f>
        <v>0.95998323267625663</v>
      </c>
      <c r="E172" s="52">
        <f>NORMSDIST(LN(A172/Calculator!$I$43)/Calculator!$D$30)</f>
        <v>0.76082746664010792</v>
      </c>
    </row>
    <row r="173" spans="1:5" x14ac:dyDescent="0.25">
      <c r="A173" s="51">
        <v>3.43</v>
      </c>
      <c r="B173" s="52">
        <f>NORMSDIST(LN(A173/Calculator!$I$40)/Calculator!$D$30)</f>
        <v>0.99999999542955764</v>
      </c>
      <c r="C173" s="52">
        <f>NORMSDIST(LN(A173/Calculator!$I$41)/Calculator!$D$30)</f>
        <v>0.99995077068782201</v>
      </c>
      <c r="D173" s="52">
        <f>NORMSDIST(LN(A173/Calculator!$I$42)/Calculator!$D$30)</f>
        <v>0.96122748193373742</v>
      </c>
      <c r="E173" s="52">
        <f>NORMSDIST(LN(A173/Calculator!$I$43)/Calculator!$D$30)</f>
        <v>0.76534025949070106</v>
      </c>
    </row>
    <row r="174" spans="1:5" x14ac:dyDescent="0.25">
      <c r="A174" s="51">
        <v>3.45</v>
      </c>
      <c r="B174" s="52">
        <f>NORMSDIST(LN(A174/Calculator!$I$40)/Calculator!$D$30)</f>
        <v>0.99999999580625254</v>
      </c>
      <c r="C174" s="52">
        <f>NORMSDIST(LN(A174/Calculator!$I$41)/Calculator!$D$30)</f>
        <v>0.99995364022464772</v>
      </c>
      <c r="D174" s="52">
        <f>NORMSDIST(LN(A174/Calculator!$I$42)/Calculator!$D$30)</f>
        <v>0.96243307444458703</v>
      </c>
      <c r="E174" s="52">
        <f>NORMSDIST(LN(A174/Calculator!$I$43)/Calculator!$D$30)</f>
        <v>0.7697797418339879</v>
      </c>
    </row>
    <row r="175" spans="1:5" x14ac:dyDescent="0.25">
      <c r="A175" s="51">
        <v>3.47</v>
      </c>
      <c r="B175" s="52">
        <f>NORMSDIST(LN(A175/Calculator!$I$40)/Calculator!$D$30)</f>
        <v>0.99999999615077206</v>
      </c>
      <c r="C175" s="52">
        <f>NORMSDIST(LN(A175/Calculator!$I$41)/Calculator!$D$30)</f>
        <v>0.99995633604364553</v>
      </c>
      <c r="D175" s="52">
        <f>NORMSDIST(LN(A175/Calculator!$I$42)/Calculator!$D$30)</f>
        <v>0.96360117885949303</v>
      </c>
      <c r="E175" s="52">
        <f>NORMSDIST(LN(A175/Calculator!$I$43)/Calculator!$D$30)</f>
        <v>0.77414659928927665</v>
      </c>
    </row>
    <row r="176" spans="1:5" x14ac:dyDescent="0.25">
      <c r="A176" s="51">
        <v>3.49</v>
      </c>
      <c r="B176" s="52">
        <f>NORMSDIST(LN(A176/Calculator!$I$40)/Calculator!$D$30)</f>
        <v>0.99999999646596105</v>
      </c>
      <c r="C176" s="52">
        <f>NORMSDIST(LN(A176/Calculator!$I$41)/Calculator!$D$30)</f>
        <v>0.99995886904570097</v>
      </c>
      <c r="D176" s="52">
        <f>NORMSDIST(LN(A176/Calculator!$I$42)/Calculator!$D$30)</f>
        <v>0.96473293126538495</v>
      </c>
      <c r="E176" s="52">
        <f>NORMSDIST(LN(A176/Calculator!$I$43)/Calculator!$D$30)</f>
        <v>0.77844153385660753</v>
      </c>
    </row>
    <row r="177" spans="1:5" x14ac:dyDescent="0.25">
      <c r="A177" s="51">
        <v>3.51</v>
      </c>
      <c r="B177" s="52">
        <f>NORMSDIST(LN(A177/Calculator!$I$40)/Calculator!$D$30)</f>
        <v>0.99999999675440421</v>
      </c>
      <c r="C177" s="52">
        <f>NORMSDIST(LN(A177/Calculator!$I$41)/Calculator!$D$30)</f>
        <v>0.99996124942410891</v>
      </c>
      <c r="D177" s="52">
        <f>NORMSDIST(LN(A177/Calculator!$I$42)/Calculator!$D$30)</f>
        <v>0.9658294358997942</v>
      </c>
      <c r="E177" s="52">
        <f>NORMSDIST(LN(A177/Calculator!$I$43)/Calculator!$D$30)</f>
        <v>0.78266526262125347</v>
      </c>
    </row>
    <row r="178" spans="1:5" x14ac:dyDescent="0.25">
      <c r="A178" s="51">
        <v>3.53</v>
      </c>
      <c r="B178" s="52">
        <f>NORMSDIST(LN(A178/Calculator!$I$40)/Calculator!$D$30)</f>
        <v>0.99999999701845077</v>
      </c>
      <c r="C178" s="52">
        <f>NORMSDIST(LN(A178/Calculator!$I$41)/Calculator!$D$30)</f>
        <v>0.99996348671198598</v>
      </c>
      <c r="D178" s="52">
        <f>NORMSDIST(LN(A178/Calculator!$I$42)/Calculator!$D$30)</f>
        <v>0.96689176586299752</v>
      </c>
      <c r="E178" s="52">
        <f>NORMSDIST(LN(A178/Calculator!$I$43)/Calculator!$D$30)</f>
        <v>0.78681851650621015</v>
      </c>
    </row>
    <row r="179" spans="1:5" x14ac:dyDescent="0.25">
      <c r="A179" s="51">
        <v>3.55</v>
      </c>
      <c r="B179" s="52">
        <f>NORMSDIST(LN(A179/Calculator!$I$40)/Calculator!$D$30)</f>
        <v>0.99999999726023658</v>
      </c>
      <c r="C179" s="52">
        <f>NORMSDIST(LN(A179/Calculator!$I$41)/Calculator!$D$30)</f>
        <v>0.99996558982640982</v>
      </c>
      <c r="D179" s="52">
        <f>NORMSDIST(LN(A179/Calculator!$I$42)/Calculator!$D$30)</f>
        <v>0.96792096382680615</v>
      </c>
      <c r="E179" s="52">
        <f>NORMSDIST(LN(A179/Calculator!$I$43)/Calculator!$D$30)</f>
        <v>0.7909020390717667</v>
      </c>
    </row>
    <row r="180" spans="1:5" x14ac:dyDescent="0.25">
      <c r="A180" s="51">
        <v>3.57</v>
      </c>
      <c r="B180" s="52">
        <f>NORMSDIST(LN(A180/Calculator!$I$40)/Calculator!$D$30)</f>
        <v>0.99999999748170421</v>
      </c>
      <c r="C180" s="52">
        <f>NORMSDIST(LN(A180/Calculator!$I$41)/Calculator!$D$30)</f>
        <v>0.99996756710951928</v>
      </c>
      <c r="D180" s="52">
        <f>NORMSDIST(LN(A180/Calculator!$I$42)/Calculator!$D$30)</f>
        <v>0.96891804273896209</v>
      </c>
      <c r="E180" s="52">
        <f>NORMSDIST(LN(A180/Calculator!$I$43)/Calculator!$D$30)</f>
        <v>0.79491658536122778</v>
      </c>
    </row>
    <row r="181" spans="1:5" x14ac:dyDescent="0.25">
      <c r="A181" s="51">
        <v>3.59</v>
      </c>
      <c r="B181" s="52">
        <f>NORMSDIST(LN(A181/Calculator!$I$40)/Calculator!$D$30)</f>
        <v>0.999999997684621</v>
      </c>
      <c r="C181" s="52">
        <f>NORMSDIST(LN(A181/Calculator!$I$41)/Calculator!$D$30)</f>
        <v>0.99996942636678943</v>
      </c>
      <c r="D181" s="52">
        <f>NORMSDIST(LN(A181/Calculator!$I$42)/Calculator!$D$30)</f>
        <v>0.96988398652220142</v>
      </c>
      <c r="E181" s="52">
        <f>NORMSDIST(LN(A181/Calculator!$I$43)/Calculator!$D$30)</f>
        <v>0.79886292079182353</v>
      </c>
    </row>
    <row r="182" spans="1:5" x14ac:dyDescent="0.25">
      <c r="A182" s="51">
        <v>3.61</v>
      </c>
      <c r="B182" s="52">
        <f>NORMSDIST(LN(A182/Calculator!$I$40)/Calculator!$D$30)</f>
        <v>0.99999999787059524</v>
      </c>
      <c r="C182" s="52">
        <f>NORMSDIST(LN(A182/Calculator!$I$41)/Calculator!$D$30)</f>
        <v>0.99997117490268161</v>
      </c>
      <c r="D182" s="52">
        <f>NORMSDIST(LN(A182/Calculator!$I$42)/Calculator!$D$30)</f>
        <v>0.97081975076713178</v>
      </c>
      <c r="E182" s="52">
        <f>NORMSDIST(LN(A182/Calculator!$I$43)/Calculator!$D$30)</f>
        <v>0.80274182008982597</v>
      </c>
    </row>
    <row r="183" spans="1:5" x14ac:dyDescent="0.25">
      <c r="A183" s="51">
        <v>3.63</v>
      </c>
      <c r="B183" s="52">
        <f>NORMSDIST(LN(A183/Calculator!$I$40)/Calculator!$D$30)</f>
        <v>0.99999999804109108</v>
      </c>
      <c r="C183" s="52">
        <f>NORMSDIST(LN(A183/Calculator!$I$41)/Calculator!$D$30)</f>
        <v>0.99997281955385342</v>
      </c>
      <c r="D183" s="52">
        <f>NORMSDIST(LN(A183/Calculator!$I$42)/Calculator!$D$30)</f>
        <v>0.97172626341815438</v>
      </c>
      <c r="E183" s="52">
        <f>NORMSDIST(LN(A183/Calculator!$I$43)/Calculator!$D$30)</f>
        <v>0.80655406626886872</v>
      </c>
    </row>
    <row r="184" spans="1:5" x14ac:dyDescent="0.25">
      <c r="A184" s="51">
        <v>3.65</v>
      </c>
      <c r="B184" s="52">
        <f>NORMSDIST(LN(A184/Calculator!$I$40)/Calculator!$D$30)</f>
        <v>0.99999999819744179</v>
      </c>
      <c r="C184" s="52">
        <f>NORMSDIST(LN(A184/Calculator!$I$41)/Calculator!$D$30)</f>
        <v>0.99997436672009943</v>
      </c>
      <c r="D184" s="52">
        <f>NORMSDIST(LN(A184/Calculator!$I$42)/Calculator!$D$30)</f>
        <v>0.97260442545174164</v>
      </c>
      <c r="E184" s="52">
        <f>NORMSDIST(LN(A184/Calculator!$I$43)/Calculator!$D$30)</f>
        <v>0.81030044965045844</v>
      </c>
    </row>
    <row r="185" spans="1:5" x14ac:dyDescent="0.25">
      <c r="A185" s="51">
        <v>3.67</v>
      </c>
      <c r="B185" s="52">
        <f>NORMSDIST(LN(A185/Calculator!$I$40)/Calculator!$D$30)</f>
        <v>0.99999999834086217</v>
      </c>
      <c r="C185" s="52">
        <f>NORMSDIST(LN(A185/Calculator!$I$41)/Calculator!$D$30)</f>
        <v>0.99997582239318394</v>
      </c>
      <c r="D185" s="52">
        <f>NORMSDIST(LN(A185/Calculator!$I$42)/Calculator!$D$30)</f>
        <v>0.97345511154645292</v>
      </c>
      <c r="E185" s="52">
        <f>NORMSDIST(LN(A185/Calculator!$I$43)/Calculator!$D$30)</f>
        <v>0.81398176692564694</v>
      </c>
    </row>
    <row r="186" spans="1:5" x14ac:dyDescent="0.25">
      <c r="A186" s="51">
        <v>3.69</v>
      </c>
      <c r="B186" s="52">
        <f>NORMSDIST(LN(A186/Calculator!$I$40)/Calculator!$D$30)</f>
        <v>0.99999999847245891</v>
      </c>
      <c r="C186" s="52">
        <f>NORMSDIST(LN(A186/Calculator!$I$41)/Calculator!$D$30)</f>
        <v>0.99997719218371173</v>
      </c>
      <c r="D186" s="52">
        <f>NORMSDIST(LN(A186/Calculator!$I$42)/Calculator!$D$30)</f>
        <v>0.97427917074413761</v>
      </c>
      <c r="E186" s="52">
        <f>NORMSDIST(LN(A186/Calculator!$I$43)/Calculator!$D$30)</f>
        <v>0.81759882025683583</v>
      </c>
    </row>
    <row r="187" spans="1:5" x14ac:dyDescent="0.25">
      <c r="A187" s="51">
        <v>3.71</v>
      </c>
      <c r="B187" s="52">
        <f>NORMSDIST(LN(A187/Calculator!$I$40)/Calculator!$D$30)</f>
        <v>0.99999999859324074</v>
      </c>
      <c r="C187" s="52">
        <f>NORMSDIST(LN(A187/Calculator!$I$41)/Calculator!$D$30)</f>
        <v>0.99997848134617484</v>
      </c>
      <c r="D187" s="52">
        <f>NORMSDIST(LN(A187/Calculator!$I$42)/Calculator!$D$30)</f>
        <v>0.97507742710184087</v>
      </c>
      <c r="E187" s="52">
        <f>NORMSDIST(LN(A187/Calculator!$I$43)/Calculator!$D$30)</f>
        <v>0.82115241641866876</v>
      </c>
    </row>
    <row r="188" spans="1:5" x14ac:dyDescent="0.25">
      <c r="A188" s="51">
        <v>3.73</v>
      </c>
      <c r="B188" s="52">
        <f>NORMSDIST(LN(A188/Calculator!$I$40)/Calculator!$D$30)</f>
        <v>0.99999999870412759</v>
      </c>
      <c r="C188" s="52">
        <f>NORMSDIST(LN(A188/Calculator!$I$41)/Calculator!$D$30)</f>
        <v>0.99997969480230242</v>
      </c>
      <c r="D188" s="52">
        <f>NORMSDIST(LN(A188/Calculator!$I$42)/Calculator!$D$30)</f>
        <v>0.97585068033398525</v>
      </c>
      <c r="E188" s="52">
        <f>NORMSDIST(LN(A188/Calculator!$I$43)/Calculator!$D$30)</f>
        <v>0.82464336597697496</v>
      </c>
    </row>
    <row r="189" spans="1:5" x14ac:dyDescent="0.25">
      <c r="A189" s="51">
        <v>3.75</v>
      </c>
      <c r="B189" s="52">
        <f>NORMSDIST(LN(A189/Calculator!$I$40)/Calculator!$D$30)</f>
        <v>0.99999999880595847</v>
      </c>
      <c r="C189" s="52">
        <f>NORMSDIST(LN(A189/Calculator!$I$41)/Calculator!$D$30)</f>
        <v>0.99998083716283281</v>
      </c>
      <c r="D189" s="52">
        <f>NORMSDIST(LN(A189/Calculator!$I$42)/Calculator!$D$30)</f>
        <v>0.97659970644445493</v>
      </c>
      <c r="E189" s="52">
        <f>NORMSDIST(LN(A189/Calculator!$I$43)/Calculator!$D$30)</f>
        <v>0.8280724825047201</v>
      </c>
    </row>
    <row r="190" spans="1:5" x14ac:dyDescent="0.25">
      <c r="A190" s="51">
        <v>3.77</v>
      </c>
      <c r="B190" s="52">
        <f>NORMSDIST(LN(A190/Calculator!$I$40)/Calculator!$D$30)</f>
        <v>0.99999999889949875</v>
      </c>
      <c r="C190" s="52">
        <f>NORMSDIST(LN(A190/Calculator!$I$41)/Calculator!$D$30)</f>
        <v>0.99998191274781589</v>
      </c>
      <c r="D190" s="52">
        <f>NORMSDIST(LN(A190/Calculator!$I$42)/Calculator!$D$30)</f>
        <v>0.97732525834826334</v>
      </c>
      <c r="E190" s="52">
        <f>NORMSDIST(LN(A190/Calculator!$I$43)/Calculator!$D$30)</f>
        <v>0.83144058183392888</v>
      </c>
    </row>
    <row r="191" spans="1:5" x14ac:dyDescent="0.25">
      <c r="A191" s="51">
        <v>3.79</v>
      </c>
      <c r="B191" s="52">
        <f>NORMSDIST(LN(A191/Calculator!$I$40)/Calculator!$D$30)</f>
        <v>0.999999998985447</v>
      </c>
      <c r="C191" s="52">
        <f>NORMSDIST(LN(A191/Calculator!$I$41)/Calculator!$D$30)</f>
        <v>0.99998292560554969</v>
      </c>
      <c r="D191" s="52">
        <f>NORMSDIST(LN(A191/Calculator!$I$42)/Calculator!$D$30)</f>
        <v>0.97802806648252771</v>
      </c>
      <c r="E191" s="52">
        <f>NORMSDIST(LN(A191/Calculator!$I$43)/Calculator!$D$30)</f>
        <v>0.83474848134254276</v>
      </c>
    </row>
    <row r="192" spans="1:5" x14ac:dyDescent="0.25">
      <c r="A192" s="51">
        <v>3.81</v>
      </c>
      <c r="B192" s="52">
        <f>NORMSDIST(LN(A192/Calculator!$I$40)/Calculator!$D$30)</f>
        <v>0.99999999906444081</v>
      </c>
      <c r="C192" s="52">
        <f>NORMSDIST(LN(A192/Calculator!$I$41)/Calculator!$D$30)</f>
        <v>0.99998387953024381</v>
      </c>
      <c r="D192" s="52">
        <f>NORMSDIST(LN(A192/Calculator!$I$42)/Calculator!$D$30)</f>
        <v>0.97870883940652442</v>
      </c>
      <c r="E192" s="52">
        <f>NORMSDIST(LN(A192/Calculator!$I$43)/Calculator!$D$30)</f>
        <v>0.83799699927518945</v>
      </c>
    </row>
    <row r="193" spans="1:5" x14ac:dyDescent="0.25">
      <c r="A193" s="51">
        <v>3.83</v>
      </c>
      <c r="B193" s="52">
        <f>NORMSDIST(LN(A193/Calculator!$I$40)/Calculator!$D$30)</f>
        <v>0.99999999913706272</v>
      </c>
      <c r="C193" s="52">
        <f>NORMSDIST(LN(A193/Calculator!$I$41)/Calculator!$D$30)</f>
        <v>0.99998477807849984</v>
      </c>
      <c r="D193" s="52">
        <f>NORMSDIST(LN(A193/Calculator!$I$42)/Calculator!$D$30)</f>
        <v>0.97936826439063185</v>
      </c>
      <c r="E193" s="52">
        <f>NORMSDIST(LN(A193/Calculator!$I$43)/Calculator!$D$30)</f>
        <v>0.84118695409684208</v>
      </c>
    </row>
    <row r="194" spans="1:5" x14ac:dyDescent="0.25">
      <c r="A194" s="51">
        <v>3.85</v>
      </c>
      <c r="B194" s="52">
        <f>NORMSDIST(LN(A194/Calculator!$I$40)/Calculator!$D$30)</f>
        <v>0.99999999920384441</v>
      </c>
      <c r="C194" s="52">
        <f>NORMSDIST(LN(A194/Calculator!$I$41)/Calculator!$D$30)</f>
        <v>0.99998562458468843</v>
      </c>
      <c r="D194" s="52">
        <f>NORMSDIST(LN(A194/Calculator!$I$42)/Calculator!$D$30)</f>
        <v>0.98000700799401119</v>
      </c>
      <c r="E194" s="52">
        <f>NORMSDIST(LN(A194/Calculator!$I$43)/Calculator!$D$30)</f>
        <v>0.84431916387836048</v>
      </c>
    </row>
    <row r="195" spans="1:5" x14ac:dyDescent="0.25">
      <c r="A195" s="51">
        <v>3.87</v>
      </c>
      <c r="B195" s="52">
        <f>NORMSDIST(LN(A195/Calculator!$I$40)/Calculator!$D$30)</f>
        <v>0.99999999926527194</v>
      </c>
      <c r="C195" s="52">
        <f>NORMSDIST(LN(A195/Calculator!$I$41)/Calculator!$D$30)</f>
        <v>0.99998642217530054</v>
      </c>
      <c r="D195" s="52">
        <f>NORMSDIST(LN(A195/Calculator!$I$42)/Calculator!$D$30)</f>
        <v>0.98062571663090714</v>
      </c>
      <c r="E195" s="52">
        <f>NORMSDIST(LN(A195/Calculator!$I$43)/Calculator!$D$30)</f>
        <v>0.84739444571291822</v>
      </c>
    </row>
    <row r="196" spans="1:5" x14ac:dyDescent="0.25">
      <c r="A196" s="51">
        <v>3.89</v>
      </c>
      <c r="B196" s="52">
        <f>NORMSDIST(LN(A196/Calculator!$I$40)/Calculator!$D$30)</f>
        <v>0.99999999932178962</v>
      </c>
      <c r="C196" s="52">
        <f>NORMSDIST(LN(A196/Calculator!$I$41)/Calculator!$D$30)</f>
        <v>0.99998717378234203</v>
      </c>
      <c r="D196" s="52">
        <f>NORMSDIST(LN(A196/Calculator!$I$42)/Calculator!$D$30)</f>
        <v>0.98122501712548338</v>
      </c>
      <c r="E196" s="52">
        <f>NORMSDIST(LN(A196/Calculator!$I$43)/Calculator!$D$30)</f>
        <v>0.85041361516232739</v>
      </c>
    </row>
    <row r="197" spans="1:5" x14ac:dyDescent="0.25">
      <c r="A197" s="51">
        <v>3.91</v>
      </c>
      <c r="B197" s="52">
        <f>NORMSDIST(LN(A197/Calculator!$I$40)/Calculator!$D$30)</f>
        <v>0.99999999937380357</v>
      </c>
      <c r="C197" s="52">
        <f>NORMSDIST(LN(A197/Calculator!$I$41)/Calculator!$D$30)</f>
        <v>0.99998788215583823</v>
      </c>
      <c r="D197" s="52">
        <f>NORMSDIST(LN(A197/Calculator!$I$42)/Calculator!$D$30)</f>
        <v>0.98180551725513499</v>
      </c>
      <c r="E197" s="52">
        <f>NORMSDIST(LN(A197/Calculator!$I$43)/Calculator!$D$30)</f>
        <v>0.85337748573229155</v>
      </c>
    </row>
    <row r="198" spans="1:5" x14ac:dyDescent="0.25">
      <c r="A198" s="51">
        <v>3.93</v>
      </c>
      <c r="B198" s="52">
        <f>NORMSDIST(LN(A198/Calculator!$I$40)/Calculator!$D$30)</f>
        <v>0.99999999942168505</v>
      </c>
      <c r="C198" s="52">
        <f>NORMSDIST(LN(A198/Calculator!$I$41)/Calculator!$D$30)</f>
        <v>0.99998854987550911</v>
      </c>
      <c r="D198" s="52">
        <f>NORMSDIST(LN(A198/Calculator!$I$42)/Calculator!$D$30)</f>
        <v>0.98236780628225107</v>
      </c>
      <c r="E198" s="52">
        <f>NORMSDIST(LN(A198/Calculator!$I$43)/Calculator!$D$30)</f>
        <v>0.85628686837562984</v>
      </c>
    </row>
    <row r="199" spans="1:5" x14ac:dyDescent="0.25">
      <c r="A199" s="51">
        <v>3.95</v>
      </c>
      <c r="B199" s="52">
        <f>NORMSDIST(LN(A199/Calculator!$I$40)/Calculator!$D$30)</f>
        <v>0.99999999946577389</v>
      </c>
      <c r="C199" s="52">
        <f>NORMSDIST(LN(A199/Calculator!$I$41)/Calculator!$D$30)</f>
        <v>0.99998917936167164</v>
      </c>
      <c r="D199" s="52">
        <f>NORMSDIST(LN(A199/Calculator!$I$42)/Calculator!$D$30)</f>
        <v>0.98291245547442019</v>
      </c>
      <c r="E199" s="52">
        <f>NORMSDIST(LN(A199/Calculator!$I$43)/Calculator!$D$30)</f>
        <v>0.85914257102252911</v>
      </c>
    </row>
    <row r="200" spans="1:5" x14ac:dyDescent="0.25">
      <c r="A200" s="51">
        <v>3.97</v>
      </c>
      <c r="B200" s="52">
        <f>NORMSDIST(LN(A200/Calculator!$I$40)/Calculator!$D$30)</f>
        <v>0.99999999950638097</v>
      </c>
      <c r="C200" s="52">
        <f>NORMSDIST(LN(A200/Calculator!$I$41)/Calculator!$D$30)</f>
        <v>0.99998977288542124</v>
      </c>
      <c r="D200" s="52">
        <f>NORMSDIST(LN(A200/Calculator!$I$42)/Calculator!$D$30)</f>
        <v>0.98344001861309871</v>
      </c>
      <c r="E200" s="52">
        <f>NORMSDIST(LN(A200/Calculator!$I$43)/Calculator!$D$30)</f>
        <v>0.86194539813690163</v>
      </c>
    </row>
    <row r="201" spans="1:5" x14ac:dyDescent="0.25">
      <c r="A201" s="51">
        <v>3.99</v>
      </c>
      <c r="B201" s="52">
        <f>NORMSDIST(LN(A201/Calculator!$I$40)/Calculator!$D$30)</f>
        <v>0.99999999954379071</v>
      </c>
      <c r="C201" s="52">
        <f>NORMSDIST(LN(A201/Calculator!$I$41)/Calculator!$D$30)</f>
        <v>0.99999033257814363</v>
      </c>
      <c r="D201" s="52">
        <f>NORMSDIST(LN(A201/Calculator!$I$42)/Calculator!$D$30)</f>
        <v>0.98395103249077875</v>
      </c>
      <c r="E201" s="52">
        <f>NORMSDIST(LN(A201/Calculator!$I$43)/Calculator!$D$30)</f>
        <v>0.86469615029793745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AC1"/>
    </sheetView>
  </sheetViews>
  <sheetFormatPr defaultColWidth="8.7109375" defaultRowHeight="15" x14ac:dyDescent="0.25"/>
  <cols>
    <col min="1" max="1" width="12" customWidth="1"/>
    <col min="2" max="14" width="9" customWidth="1"/>
    <col min="15" max="25" width="10" customWidth="1"/>
    <col min="26" max="26" width="13" customWidth="1"/>
    <col min="27" max="28" width="11" customWidth="1"/>
    <col min="29" max="29" width="13" customWidth="1"/>
  </cols>
  <sheetData>
    <row r="1" spans="1:29" x14ac:dyDescent="0.25">
      <c r="A1" s="74" t="s">
        <v>179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x14ac:dyDescent="0.25">
      <c r="A2" s="12" t="s">
        <v>180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4" spans="1:29" ht="27.75" customHeight="1" x14ac:dyDescent="0.25">
      <c r="A4" s="18" t="s">
        <v>181</v>
      </c>
      <c r="B4" s="18" t="s">
        <v>23</v>
      </c>
      <c r="C4" s="18" t="s">
        <v>182</v>
      </c>
      <c r="D4" s="18" t="s">
        <v>183</v>
      </c>
      <c r="E4" s="18" t="s">
        <v>184</v>
      </c>
      <c r="F4" s="18" t="s">
        <v>185</v>
      </c>
      <c r="G4" s="18" t="s">
        <v>186</v>
      </c>
      <c r="H4" s="18" t="s">
        <v>187</v>
      </c>
      <c r="I4" s="18" t="s">
        <v>188</v>
      </c>
      <c r="J4" s="18" t="s">
        <v>51</v>
      </c>
      <c r="K4" s="18" t="s">
        <v>54</v>
      </c>
      <c r="L4" s="18" t="s">
        <v>189</v>
      </c>
      <c r="M4" s="18" t="s">
        <v>190</v>
      </c>
      <c r="N4" s="18" t="s">
        <v>191</v>
      </c>
      <c r="O4" s="53" t="s">
        <v>192</v>
      </c>
      <c r="P4" s="53" t="s">
        <v>193</v>
      </c>
      <c r="Q4" s="53" t="s">
        <v>92</v>
      </c>
      <c r="R4" s="53" t="s">
        <v>94</v>
      </c>
      <c r="S4" s="53" t="s">
        <v>140</v>
      </c>
      <c r="T4" s="53" t="s">
        <v>141</v>
      </c>
      <c r="U4" s="53" t="s">
        <v>142</v>
      </c>
      <c r="V4" s="53" t="s">
        <v>194</v>
      </c>
      <c r="W4" s="53" t="s">
        <v>195</v>
      </c>
      <c r="X4" s="53" t="s">
        <v>196</v>
      </c>
      <c r="Y4" s="53" t="s">
        <v>197</v>
      </c>
      <c r="Z4" s="53" t="s">
        <v>198</v>
      </c>
      <c r="AA4" s="53" t="s">
        <v>199</v>
      </c>
      <c r="AB4" s="53" t="s">
        <v>200</v>
      </c>
      <c r="AC4" s="53" t="s">
        <v>201</v>
      </c>
    </row>
    <row r="5" spans="1:29" x14ac:dyDescent="0.25">
      <c r="A5" s="54" t="s">
        <v>202</v>
      </c>
      <c r="B5" s="55">
        <v>3</v>
      </c>
      <c r="C5" s="55">
        <v>10</v>
      </c>
      <c r="D5" s="55">
        <v>12</v>
      </c>
      <c r="E5" s="55">
        <v>12</v>
      </c>
      <c r="F5" s="55">
        <v>0.4</v>
      </c>
      <c r="G5" s="55">
        <v>0.4</v>
      </c>
      <c r="H5" s="55">
        <v>0.25</v>
      </c>
      <c r="I5" s="55">
        <v>0.45</v>
      </c>
      <c r="J5" s="55">
        <v>3</v>
      </c>
      <c r="K5" s="55">
        <v>3</v>
      </c>
      <c r="L5" s="55">
        <v>3</v>
      </c>
      <c r="M5" s="55">
        <v>3</v>
      </c>
      <c r="N5" s="55">
        <v>0.25</v>
      </c>
      <c r="O5" s="22">
        <f t="shared" ref="O5:O44" si="0">IF($B5="","",MIN(D5,E5))</f>
        <v>12</v>
      </c>
      <c r="P5" s="22">
        <f t="shared" ref="P5:P44" si="1">IF($B5="","",0.075*C5^0.75)</f>
        <v>0.42175599389276192</v>
      </c>
      <c r="Q5" s="22">
        <f t="shared" ref="Q5:Q44" si="2">IF($B5="","",IF(MIN(1,(L5*M5)/(J5*K5))&gt;=0.999,0,MIN(1,(L5*M5)/(J5*K5))))</f>
        <v>0</v>
      </c>
      <c r="R5" s="22">
        <f t="shared" ref="R5:R44" si="3">IF($B5="","",Q5/(B5+Q5))</f>
        <v>0</v>
      </c>
      <c r="S5" s="22">
        <f t="shared" ref="S5:S44" si="4">IF($B5="","",P5*SQRT(9.81/C5))</f>
        <v>0.41773009723404714</v>
      </c>
      <c r="T5" s="22">
        <f t="shared" ref="T5:T44" si="5">IF($B5="","",(F5*G5^3/(H5*I5^3))*(O5/C5)^3)</f>
        <v>1.9418074074074079</v>
      </c>
      <c r="U5" s="22">
        <f t="shared" ref="U5:U44" si="6">IF($B5="","",(C5/O5)*(1-R5))</f>
        <v>0.83333333333333337</v>
      </c>
      <c r="V5" s="22">
        <f>IF($B5="","",Equations!$C$6+Equations!$C$7*S5+Equations!$C$8*T5+Equations!$C$9*U5+Equations!$C$10*S5^2+Equations!$C$11*S5*T5+Equations!$C$12*S5*U5+Equations!$C$13*T5^2+Equations!$C$14*T5*U5+Equations!$C$15*U5^2)</f>
        <v>0.34444602923177692</v>
      </c>
      <c r="W5" s="22">
        <f>IF($B5="","",Equations!$D$6+Equations!$D$7*S5+Equations!$D$8*T5+Equations!$D$10*S5^2+Equations!$D$11*S5*T5+Equations!$D$13*T5^2)</f>
        <v>0.72239481462916189</v>
      </c>
      <c r="X5" s="22">
        <f>IF($B5="","",Equations!$E$6+Equations!$E$8*T5+Equations!$E$10*S5^2+Equations!$E$11*S5*T5+Equations!$E$13*T5^2+Equations!$E$15*U5^2)</f>
        <v>1.6930229854705143</v>
      </c>
      <c r="Y5" s="22">
        <f>IF($B5="","",Equations!$F$6+Equations!$F$10*S5^2+Equations!$F$11*S5*T5)</f>
        <v>2.5679953188018079</v>
      </c>
      <c r="Z5" s="56" t="str">
        <f t="shared" ref="Z5:Z44" si="7">IF($B5="","",IF(AND(S5&gt;=0.174,S5&lt;=1.486,T5&gt;=0,T5&lt;=13.05,U5&gt;=0.25,U5&lt;=4.55,B5&gt;=1,B5&lt;=10),"In range","Extrapolation"))</f>
        <v>In range</v>
      </c>
      <c r="AA5" s="56" t="str">
        <f t="shared" ref="AA5:AA44" si="8">IF($B5="","",IF(MIN(V5:Y5)&lt;=0,"Fail (&lt;0)","Pass"))</f>
        <v>Pass</v>
      </c>
      <c r="AB5" s="56" t="str">
        <f t="shared" ref="AB5:AB44" si="9">IF($B5="","",IF(AND(V5&lt;=W5,W5&lt;=X5,X5&lt;=Y5),"Pass","Fail"))</f>
        <v>Pass</v>
      </c>
      <c r="AC5" s="56" t="str">
        <f t="shared" ref="AC5:AC44" si="10">IF($B5="","",IF(OR(V5&lt;=0,W5&lt;=0,V5&gt;W5),"Cannot classify",IF(N5&lt;V5,"Low",IF(N5&lt;W5,"Moderate","High"))))</f>
        <v>Low</v>
      </c>
    </row>
    <row r="6" spans="1:29" x14ac:dyDescent="0.25">
      <c r="A6" s="54" t="s">
        <v>203</v>
      </c>
      <c r="B6" s="55">
        <v>5</v>
      </c>
      <c r="C6" s="55">
        <v>16</v>
      </c>
      <c r="D6" s="55">
        <v>18</v>
      </c>
      <c r="E6" s="55">
        <v>18</v>
      </c>
      <c r="F6" s="55">
        <v>0.5</v>
      </c>
      <c r="G6" s="55">
        <v>0.5</v>
      </c>
      <c r="H6" s="55">
        <v>0.3</v>
      </c>
      <c r="I6" s="55">
        <v>0.65</v>
      </c>
      <c r="J6" s="55">
        <v>3</v>
      </c>
      <c r="K6" s="55">
        <v>3</v>
      </c>
      <c r="L6" s="55">
        <v>2</v>
      </c>
      <c r="M6" s="55">
        <v>3</v>
      </c>
      <c r="N6" s="55">
        <v>0.3</v>
      </c>
      <c r="O6" s="22">
        <f t="shared" si="0"/>
        <v>18</v>
      </c>
      <c r="P6" s="22">
        <f t="shared" si="1"/>
        <v>0.59999999999999987</v>
      </c>
      <c r="Q6" s="22">
        <f t="shared" si="2"/>
        <v>0.66666666666666663</v>
      </c>
      <c r="R6" s="22">
        <f t="shared" si="3"/>
        <v>0.1176470588235294</v>
      </c>
      <c r="S6" s="22">
        <f t="shared" si="4"/>
        <v>0.46981379290097469</v>
      </c>
      <c r="T6" s="22">
        <f t="shared" si="5"/>
        <v>1.0801305757851614</v>
      </c>
      <c r="U6" s="22">
        <f t="shared" si="6"/>
        <v>0.78431372549019596</v>
      </c>
      <c r="V6" s="22">
        <f>IF($B6="","",Equations!$C$6+Equations!$C$7*S6+Equations!$C$8*T6+Equations!$C$9*U6+Equations!$C$10*S6^2+Equations!$C$11*S6*T6+Equations!$C$12*S6*U6+Equations!$C$13*T6^2+Equations!$C$14*T6*U6+Equations!$C$15*U6^2)</f>
        <v>0.24156898873093557</v>
      </c>
      <c r="W6" s="22">
        <f>IF($B6="","",Equations!$D$6+Equations!$D$7*S6+Equations!$D$8*T6+Equations!$D$10*S6^2+Equations!$D$11*S6*T6+Equations!$D$13*T6^2)</f>
        <v>0.55585074976384385</v>
      </c>
      <c r="X6" s="22">
        <f>IF($B6="","",Equations!$E$6+Equations!$E$8*T6+Equations!$E$10*S6^2+Equations!$E$11*S6*T6+Equations!$E$13*T6^2+Equations!$E$15*U6^2)</f>
        <v>1.4634948074579697</v>
      </c>
      <c r="Y6" s="22">
        <f>IF($B6="","",Equations!$F$6+Equations!$F$10*S6^2+Equations!$F$11*S6*T6)</f>
        <v>2.4159940635609805</v>
      </c>
      <c r="Z6" s="56" t="str">
        <f t="shared" si="7"/>
        <v>In range</v>
      </c>
      <c r="AA6" s="56" t="str">
        <f t="shared" si="8"/>
        <v>Pass</v>
      </c>
      <c r="AB6" s="56" t="str">
        <f t="shared" si="9"/>
        <v>Pass</v>
      </c>
      <c r="AC6" s="56" t="str">
        <f t="shared" si="10"/>
        <v>Moderate</v>
      </c>
    </row>
    <row r="7" spans="1:29" x14ac:dyDescent="0.25">
      <c r="A7" s="54" t="s">
        <v>204</v>
      </c>
      <c r="B7" s="55">
        <v>8</v>
      </c>
      <c r="C7" s="55">
        <v>25</v>
      </c>
      <c r="D7" s="55">
        <v>15</v>
      </c>
      <c r="E7" s="55">
        <v>18</v>
      </c>
      <c r="F7" s="55">
        <v>0.6</v>
      </c>
      <c r="G7" s="55">
        <v>0.6</v>
      </c>
      <c r="H7" s="55">
        <v>0.35</v>
      </c>
      <c r="I7" s="55">
        <v>0.7</v>
      </c>
      <c r="J7" s="55">
        <v>3</v>
      </c>
      <c r="K7" s="55">
        <v>3</v>
      </c>
      <c r="L7" s="55">
        <v>3</v>
      </c>
      <c r="M7" s="55">
        <v>3</v>
      </c>
      <c r="N7" s="55">
        <v>0.2</v>
      </c>
      <c r="O7" s="22">
        <f t="shared" si="0"/>
        <v>15</v>
      </c>
      <c r="P7" s="22">
        <f t="shared" si="1"/>
        <v>0.83852549156242084</v>
      </c>
      <c r="Q7" s="22">
        <f t="shared" si="2"/>
        <v>0</v>
      </c>
      <c r="R7" s="22">
        <f t="shared" si="3"/>
        <v>0</v>
      </c>
      <c r="S7" s="22">
        <f t="shared" si="4"/>
        <v>0.52526778884679359</v>
      </c>
      <c r="T7" s="22">
        <f t="shared" si="5"/>
        <v>0.23318284048313206</v>
      </c>
      <c r="U7" s="22">
        <f t="shared" si="6"/>
        <v>1.6666666666666667</v>
      </c>
      <c r="V7" s="22">
        <f>IF($B7="","",Equations!$C$6+Equations!$C$7*S7+Equations!$C$8*T7+Equations!$C$9*U7+Equations!$C$10*S7^2+Equations!$C$11*S7*T7+Equations!$C$12*S7*U7+Equations!$C$13*T7^2+Equations!$C$14*T7*U7+Equations!$C$15*U7^2)</f>
        <v>0.10701062428636439</v>
      </c>
      <c r="W7" s="22">
        <f>IF($B7="","",Equations!$D$6+Equations!$D$7*S7+Equations!$D$8*T7+Equations!$D$10*S7^2+Equations!$D$11*S7*T7+Equations!$D$13*T7^2)</f>
        <v>0.39631034957376071</v>
      </c>
      <c r="X7" s="22">
        <f>IF($B7="","",Equations!$E$6+Equations!$E$8*T7+Equations!$E$10*S7^2+Equations!$E$11*S7*T7+Equations!$E$13*T7^2+Equations!$E$15*U7^2)</f>
        <v>1.1948889589507368</v>
      </c>
      <c r="Y7" s="22">
        <f>IF($B7="","",Equations!$F$6+Equations!$F$10*S7^2+Equations!$F$11*S7*T7)</f>
        <v>2.2271846308422676</v>
      </c>
      <c r="Z7" s="56" t="str">
        <f t="shared" si="7"/>
        <v>In range</v>
      </c>
      <c r="AA7" s="56" t="str">
        <f t="shared" si="8"/>
        <v>Pass</v>
      </c>
      <c r="AB7" s="56" t="str">
        <f t="shared" si="9"/>
        <v>Pass</v>
      </c>
      <c r="AC7" s="56" t="str">
        <f t="shared" si="10"/>
        <v>Moderate</v>
      </c>
    </row>
    <row r="8" spans="1:29" x14ac:dyDescent="0.25">
      <c r="A8" s="54" t="s">
        <v>205</v>
      </c>
      <c r="B8" s="55">
        <v>2</v>
      </c>
      <c r="C8" s="55">
        <v>7</v>
      </c>
      <c r="D8" s="55">
        <v>10</v>
      </c>
      <c r="E8" s="55">
        <v>12</v>
      </c>
      <c r="F8" s="55">
        <v>0.3</v>
      </c>
      <c r="G8" s="55">
        <v>0.3</v>
      </c>
      <c r="H8" s="55">
        <v>0.25</v>
      </c>
      <c r="I8" s="55">
        <v>0.6</v>
      </c>
      <c r="J8" s="55">
        <v>2</v>
      </c>
      <c r="K8" s="55">
        <v>3</v>
      </c>
      <c r="L8" s="55">
        <v>2</v>
      </c>
      <c r="M8" s="55">
        <v>3</v>
      </c>
      <c r="N8" s="55">
        <v>0.4</v>
      </c>
      <c r="O8" s="22">
        <f t="shared" si="0"/>
        <v>10</v>
      </c>
      <c r="P8" s="22">
        <f t="shared" si="1"/>
        <v>0.32276378029941372</v>
      </c>
      <c r="Q8" s="22">
        <f t="shared" si="2"/>
        <v>0</v>
      </c>
      <c r="R8" s="22">
        <f t="shared" si="3"/>
        <v>0</v>
      </c>
      <c r="S8" s="22">
        <f t="shared" si="4"/>
        <v>0.38209405194753149</v>
      </c>
      <c r="T8" s="22">
        <f t="shared" si="5"/>
        <v>0.43731778425655982</v>
      </c>
      <c r="U8" s="22">
        <f t="shared" si="6"/>
        <v>0.7</v>
      </c>
      <c r="V8" s="22">
        <f>IF($B8="","",Equations!$C$6+Equations!$C$7*S8+Equations!$C$8*T8+Equations!$C$9*U8+Equations!$C$10*S8^2+Equations!$C$11*S8*T8+Equations!$C$12*S8*U8+Equations!$C$13*T8^2+Equations!$C$14*T8*U8+Equations!$C$15*U8^2)</f>
        <v>0.22642161288788051</v>
      </c>
      <c r="W8" s="22">
        <f>IF($B8="","",Equations!$D$6+Equations!$D$7*S8+Equations!$D$8*T8+Equations!$D$10*S8^2+Equations!$D$11*S8*T8+Equations!$D$13*T8^2)</f>
        <v>0.58242079780266853</v>
      </c>
      <c r="X8" s="22">
        <f>IF($B8="","",Equations!$E$6+Equations!$E$8*T8+Equations!$E$10*S8^2+Equations!$E$11*S8*T8+Equations!$E$13*T8^2+Equations!$E$15*U8^2)</f>
        <v>1.3261677637249625</v>
      </c>
      <c r="Y8" s="22">
        <f>IF($B8="","",Equations!$F$6+Equations!$F$10*S8^2+Equations!$F$11*S8*T8)</f>
        <v>2.389131639895886</v>
      </c>
      <c r="Z8" s="56" t="str">
        <f t="shared" si="7"/>
        <v>In range</v>
      </c>
      <c r="AA8" s="56" t="str">
        <f t="shared" si="8"/>
        <v>Pass</v>
      </c>
      <c r="AB8" s="56" t="str">
        <f t="shared" si="9"/>
        <v>Pass</v>
      </c>
      <c r="AC8" s="56" t="str">
        <f t="shared" si="10"/>
        <v>Moderate</v>
      </c>
    </row>
    <row r="9" spans="1:29" x14ac:dyDescent="0.2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22" t="str">
        <f t="shared" si="0"/>
        <v/>
      </c>
      <c r="P9" s="22" t="str">
        <f t="shared" si="1"/>
        <v/>
      </c>
      <c r="Q9" s="22" t="str">
        <f t="shared" si="2"/>
        <v/>
      </c>
      <c r="R9" s="22" t="str">
        <f t="shared" si="3"/>
        <v/>
      </c>
      <c r="S9" s="22" t="str">
        <f t="shared" si="4"/>
        <v/>
      </c>
      <c r="T9" s="22" t="str">
        <f t="shared" si="5"/>
        <v/>
      </c>
      <c r="U9" s="22" t="str">
        <f t="shared" si="6"/>
        <v/>
      </c>
      <c r="V9" s="22" t="str">
        <f>IF($B9="","",Equations!$C$6+Equations!$C$7*S9+Equations!$C$8*T9+Equations!$C$9*U9+Equations!$C$10*S9^2+Equations!$C$11*S9*T9+Equations!$C$12*S9*U9+Equations!$C$13*T9^2+Equations!$C$14*T9*U9+Equations!$C$15*U9^2)</f>
        <v/>
      </c>
      <c r="W9" s="22" t="str">
        <f>IF($B9="","",Equations!$D$6+Equations!$D$7*S9+Equations!$D$8*T9+Equations!$D$10*S9^2+Equations!$D$11*S9*T9+Equations!$D$13*T9^2)</f>
        <v/>
      </c>
      <c r="X9" s="22" t="str">
        <f>IF($B9="","",Equations!$E$6+Equations!$E$8*T9+Equations!$E$10*S9^2+Equations!$E$11*S9*T9+Equations!$E$13*T9^2+Equations!$E$15*U9^2)</f>
        <v/>
      </c>
      <c r="Y9" s="22" t="str">
        <f>IF($B9="","",Equations!$F$6+Equations!$F$10*S9^2+Equations!$F$11*S9*T9)</f>
        <v/>
      </c>
      <c r="Z9" s="56" t="str">
        <f t="shared" si="7"/>
        <v/>
      </c>
      <c r="AA9" s="56" t="str">
        <f t="shared" si="8"/>
        <v/>
      </c>
      <c r="AB9" s="56" t="str">
        <f t="shared" si="9"/>
        <v/>
      </c>
      <c r="AC9" s="56" t="str">
        <f t="shared" si="10"/>
        <v/>
      </c>
    </row>
    <row r="10" spans="1:29" x14ac:dyDescent="0.2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22" t="str">
        <f t="shared" si="0"/>
        <v/>
      </c>
      <c r="P10" s="22" t="str">
        <f t="shared" si="1"/>
        <v/>
      </c>
      <c r="Q10" s="22" t="str">
        <f t="shared" si="2"/>
        <v/>
      </c>
      <c r="R10" s="22" t="str">
        <f t="shared" si="3"/>
        <v/>
      </c>
      <c r="S10" s="22" t="str">
        <f t="shared" si="4"/>
        <v/>
      </c>
      <c r="T10" s="22" t="str">
        <f t="shared" si="5"/>
        <v/>
      </c>
      <c r="U10" s="22" t="str">
        <f t="shared" si="6"/>
        <v/>
      </c>
      <c r="V10" s="22" t="str">
        <f>IF($B10="","",Equations!$C$6+Equations!$C$7*S10+Equations!$C$8*T10+Equations!$C$9*U10+Equations!$C$10*S10^2+Equations!$C$11*S10*T10+Equations!$C$12*S10*U10+Equations!$C$13*T10^2+Equations!$C$14*T10*U10+Equations!$C$15*U10^2)</f>
        <v/>
      </c>
      <c r="W10" s="22" t="str">
        <f>IF($B10="","",Equations!$D$6+Equations!$D$7*S10+Equations!$D$8*T10+Equations!$D$10*S10^2+Equations!$D$11*S10*T10+Equations!$D$13*T10^2)</f>
        <v/>
      </c>
      <c r="X10" s="22" t="str">
        <f>IF($B10="","",Equations!$E$6+Equations!$E$8*T10+Equations!$E$10*S10^2+Equations!$E$11*S10*T10+Equations!$E$13*T10^2+Equations!$E$15*U10^2)</f>
        <v/>
      </c>
      <c r="Y10" s="22" t="str">
        <f>IF($B10="","",Equations!$F$6+Equations!$F$10*S10^2+Equations!$F$11*S10*T10)</f>
        <v/>
      </c>
      <c r="Z10" s="56" t="str">
        <f t="shared" si="7"/>
        <v/>
      </c>
      <c r="AA10" s="56" t="str">
        <f t="shared" si="8"/>
        <v/>
      </c>
      <c r="AB10" s="56" t="str">
        <f t="shared" si="9"/>
        <v/>
      </c>
      <c r="AC10" s="56" t="str">
        <f t="shared" si="10"/>
        <v/>
      </c>
    </row>
    <row r="11" spans="1:29" x14ac:dyDescent="0.2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22" t="str">
        <f t="shared" si="0"/>
        <v/>
      </c>
      <c r="P11" s="22" t="str">
        <f t="shared" si="1"/>
        <v/>
      </c>
      <c r="Q11" s="22" t="str">
        <f t="shared" si="2"/>
        <v/>
      </c>
      <c r="R11" s="22" t="str">
        <f t="shared" si="3"/>
        <v/>
      </c>
      <c r="S11" s="22" t="str">
        <f t="shared" si="4"/>
        <v/>
      </c>
      <c r="T11" s="22" t="str">
        <f t="shared" si="5"/>
        <v/>
      </c>
      <c r="U11" s="22" t="str">
        <f t="shared" si="6"/>
        <v/>
      </c>
      <c r="V11" s="22" t="str">
        <f>IF($B11="","",Equations!$C$6+Equations!$C$7*S11+Equations!$C$8*T11+Equations!$C$9*U11+Equations!$C$10*S11^2+Equations!$C$11*S11*T11+Equations!$C$12*S11*U11+Equations!$C$13*T11^2+Equations!$C$14*T11*U11+Equations!$C$15*U11^2)</f>
        <v/>
      </c>
      <c r="W11" s="22" t="str">
        <f>IF($B11="","",Equations!$D$6+Equations!$D$7*S11+Equations!$D$8*T11+Equations!$D$10*S11^2+Equations!$D$11*S11*T11+Equations!$D$13*T11^2)</f>
        <v/>
      </c>
      <c r="X11" s="22" t="str">
        <f>IF($B11="","",Equations!$E$6+Equations!$E$8*T11+Equations!$E$10*S11^2+Equations!$E$11*S11*T11+Equations!$E$13*T11^2+Equations!$E$15*U11^2)</f>
        <v/>
      </c>
      <c r="Y11" s="22" t="str">
        <f>IF($B11="","",Equations!$F$6+Equations!$F$10*S11^2+Equations!$F$11*S11*T11)</f>
        <v/>
      </c>
      <c r="Z11" s="56" t="str">
        <f t="shared" si="7"/>
        <v/>
      </c>
      <c r="AA11" s="56" t="str">
        <f t="shared" si="8"/>
        <v/>
      </c>
      <c r="AB11" s="56" t="str">
        <f t="shared" si="9"/>
        <v/>
      </c>
      <c r="AC11" s="56" t="str">
        <f t="shared" si="10"/>
        <v/>
      </c>
    </row>
    <row r="12" spans="1:29" x14ac:dyDescent="0.2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22" t="str">
        <f t="shared" si="0"/>
        <v/>
      </c>
      <c r="P12" s="22" t="str">
        <f t="shared" si="1"/>
        <v/>
      </c>
      <c r="Q12" s="22" t="str">
        <f t="shared" si="2"/>
        <v/>
      </c>
      <c r="R12" s="22" t="str">
        <f t="shared" si="3"/>
        <v/>
      </c>
      <c r="S12" s="22" t="str">
        <f t="shared" si="4"/>
        <v/>
      </c>
      <c r="T12" s="22" t="str">
        <f t="shared" si="5"/>
        <v/>
      </c>
      <c r="U12" s="22" t="str">
        <f t="shared" si="6"/>
        <v/>
      </c>
      <c r="V12" s="22" t="str">
        <f>IF($B12="","",Equations!$C$6+Equations!$C$7*S12+Equations!$C$8*T12+Equations!$C$9*U12+Equations!$C$10*S12^2+Equations!$C$11*S12*T12+Equations!$C$12*S12*U12+Equations!$C$13*T12^2+Equations!$C$14*T12*U12+Equations!$C$15*U12^2)</f>
        <v/>
      </c>
      <c r="W12" s="22" t="str">
        <f>IF($B12="","",Equations!$D$6+Equations!$D$7*S12+Equations!$D$8*T12+Equations!$D$10*S12^2+Equations!$D$11*S12*T12+Equations!$D$13*T12^2)</f>
        <v/>
      </c>
      <c r="X12" s="22" t="str">
        <f>IF($B12="","",Equations!$E$6+Equations!$E$8*T12+Equations!$E$10*S12^2+Equations!$E$11*S12*T12+Equations!$E$13*T12^2+Equations!$E$15*U12^2)</f>
        <v/>
      </c>
      <c r="Y12" s="22" t="str">
        <f>IF($B12="","",Equations!$F$6+Equations!$F$10*S12^2+Equations!$F$11*S12*T12)</f>
        <v/>
      </c>
      <c r="Z12" s="56" t="str">
        <f t="shared" si="7"/>
        <v/>
      </c>
      <c r="AA12" s="56" t="str">
        <f t="shared" si="8"/>
        <v/>
      </c>
      <c r="AB12" s="56" t="str">
        <f t="shared" si="9"/>
        <v/>
      </c>
      <c r="AC12" s="56" t="str">
        <f t="shared" si="10"/>
        <v/>
      </c>
    </row>
    <row r="13" spans="1:29" x14ac:dyDescent="0.2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22" t="str">
        <f t="shared" si="0"/>
        <v/>
      </c>
      <c r="P13" s="22" t="str">
        <f t="shared" si="1"/>
        <v/>
      </c>
      <c r="Q13" s="22" t="str">
        <f t="shared" si="2"/>
        <v/>
      </c>
      <c r="R13" s="22" t="str">
        <f t="shared" si="3"/>
        <v/>
      </c>
      <c r="S13" s="22" t="str">
        <f t="shared" si="4"/>
        <v/>
      </c>
      <c r="T13" s="22" t="str">
        <f t="shared" si="5"/>
        <v/>
      </c>
      <c r="U13" s="22" t="str">
        <f t="shared" si="6"/>
        <v/>
      </c>
      <c r="V13" s="22" t="str">
        <f>IF($B13="","",Equations!$C$6+Equations!$C$7*S13+Equations!$C$8*T13+Equations!$C$9*U13+Equations!$C$10*S13^2+Equations!$C$11*S13*T13+Equations!$C$12*S13*U13+Equations!$C$13*T13^2+Equations!$C$14*T13*U13+Equations!$C$15*U13^2)</f>
        <v/>
      </c>
      <c r="W13" s="22" t="str">
        <f>IF($B13="","",Equations!$D$6+Equations!$D$7*S13+Equations!$D$8*T13+Equations!$D$10*S13^2+Equations!$D$11*S13*T13+Equations!$D$13*T13^2)</f>
        <v/>
      </c>
      <c r="X13" s="22" t="str">
        <f>IF($B13="","",Equations!$E$6+Equations!$E$8*T13+Equations!$E$10*S13^2+Equations!$E$11*S13*T13+Equations!$E$13*T13^2+Equations!$E$15*U13^2)</f>
        <v/>
      </c>
      <c r="Y13" s="22" t="str">
        <f>IF($B13="","",Equations!$F$6+Equations!$F$10*S13^2+Equations!$F$11*S13*T13)</f>
        <v/>
      </c>
      <c r="Z13" s="56" t="str">
        <f t="shared" si="7"/>
        <v/>
      </c>
      <c r="AA13" s="56" t="str">
        <f t="shared" si="8"/>
        <v/>
      </c>
      <c r="AB13" s="56" t="str">
        <f t="shared" si="9"/>
        <v/>
      </c>
      <c r="AC13" s="56" t="str">
        <f t="shared" si="10"/>
        <v/>
      </c>
    </row>
    <row r="14" spans="1:29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22" t="str">
        <f t="shared" si="0"/>
        <v/>
      </c>
      <c r="P14" s="22" t="str">
        <f t="shared" si="1"/>
        <v/>
      </c>
      <c r="Q14" s="22" t="str">
        <f t="shared" si="2"/>
        <v/>
      </c>
      <c r="R14" s="22" t="str">
        <f t="shared" si="3"/>
        <v/>
      </c>
      <c r="S14" s="22" t="str">
        <f t="shared" si="4"/>
        <v/>
      </c>
      <c r="T14" s="22" t="str">
        <f t="shared" si="5"/>
        <v/>
      </c>
      <c r="U14" s="22" t="str">
        <f t="shared" si="6"/>
        <v/>
      </c>
      <c r="V14" s="22" t="str">
        <f>IF($B14="","",Equations!$C$6+Equations!$C$7*S14+Equations!$C$8*T14+Equations!$C$9*U14+Equations!$C$10*S14^2+Equations!$C$11*S14*T14+Equations!$C$12*S14*U14+Equations!$C$13*T14^2+Equations!$C$14*T14*U14+Equations!$C$15*U14^2)</f>
        <v/>
      </c>
      <c r="W14" s="22" t="str">
        <f>IF($B14="","",Equations!$D$6+Equations!$D$7*S14+Equations!$D$8*T14+Equations!$D$10*S14^2+Equations!$D$11*S14*T14+Equations!$D$13*T14^2)</f>
        <v/>
      </c>
      <c r="X14" s="22" t="str">
        <f>IF($B14="","",Equations!$E$6+Equations!$E$8*T14+Equations!$E$10*S14^2+Equations!$E$11*S14*T14+Equations!$E$13*T14^2+Equations!$E$15*U14^2)</f>
        <v/>
      </c>
      <c r="Y14" s="22" t="str">
        <f>IF($B14="","",Equations!$F$6+Equations!$F$10*S14^2+Equations!$F$11*S14*T14)</f>
        <v/>
      </c>
      <c r="Z14" s="56" t="str">
        <f t="shared" si="7"/>
        <v/>
      </c>
      <c r="AA14" s="56" t="str">
        <f t="shared" si="8"/>
        <v/>
      </c>
      <c r="AB14" s="56" t="str">
        <f t="shared" si="9"/>
        <v/>
      </c>
      <c r="AC14" s="56" t="str">
        <f t="shared" si="10"/>
        <v/>
      </c>
    </row>
    <row r="15" spans="1:29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22" t="str">
        <f t="shared" si="0"/>
        <v/>
      </c>
      <c r="P15" s="22" t="str">
        <f t="shared" si="1"/>
        <v/>
      </c>
      <c r="Q15" s="22" t="str">
        <f t="shared" si="2"/>
        <v/>
      </c>
      <c r="R15" s="22" t="str">
        <f t="shared" si="3"/>
        <v/>
      </c>
      <c r="S15" s="22" t="str">
        <f t="shared" si="4"/>
        <v/>
      </c>
      <c r="T15" s="22" t="str">
        <f t="shared" si="5"/>
        <v/>
      </c>
      <c r="U15" s="22" t="str">
        <f t="shared" si="6"/>
        <v/>
      </c>
      <c r="V15" s="22" t="str">
        <f>IF($B15="","",Equations!$C$6+Equations!$C$7*S15+Equations!$C$8*T15+Equations!$C$9*U15+Equations!$C$10*S15^2+Equations!$C$11*S15*T15+Equations!$C$12*S15*U15+Equations!$C$13*T15^2+Equations!$C$14*T15*U15+Equations!$C$15*U15^2)</f>
        <v/>
      </c>
      <c r="W15" s="22" t="str">
        <f>IF($B15="","",Equations!$D$6+Equations!$D$7*S15+Equations!$D$8*T15+Equations!$D$10*S15^2+Equations!$D$11*S15*T15+Equations!$D$13*T15^2)</f>
        <v/>
      </c>
      <c r="X15" s="22" t="str">
        <f>IF($B15="","",Equations!$E$6+Equations!$E$8*T15+Equations!$E$10*S15^2+Equations!$E$11*S15*T15+Equations!$E$13*T15^2+Equations!$E$15*U15^2)</f>
        <v/>
      </c>
      <c r="Y15" s="22" t="str">
        <f>IF($B15="","",Equations!$F$6+Equations!$F$10*S15^2+Equations!$F$11*S15*T15)</f>
        <v/>
      </c>
      <c r="Z15" s="56" t="str">
        <f t="shared" si="7"/>
        <v/>
      </c>
      <c r="AA15" s="56" t="str">
        <f t="shared" si="8"/>
        <v/>
      </c>
      <c r="AB15" s="56" t="str">
        <f t="shared" si="9"/>
        <v/>
      </c>
      <c r="AC15" s="56" t="str">
        <f t="shared" si="10"/>
        <v/>
      </c>
    </row>
    <row r="16" spans="1:29" x14ac:dyDescent="0.25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22" t="str">
        <f t="shared" si="0"/>
        <v/>
      </c>
      <c r="P16" s="22" t="str">
        <f t="shared" si="1"/>
        <v/>
      </c>
      <c r="Q16" s="22" t="str">
        <f t="shared" si="2"/>
        <v/>
      </c>
      <c r="R16" s="22" t="str">
        <f t="shared" si="3"/>
        <v/>
      </c>
      <c r="S16" s="22" t="str">
        <f t="shared" si="4"/>
        <v/>
      </c>
      <c r="T16" s="22" t="str">
        <f t="shared" si="5"/>
        <v/>
      </c>
      <c r="U16" s="22" t="str">
        <f t="shared" si="6"/>
        <v/>
      </c>
      <c r="V16" s="22" t="str">
        <f>IF($B16="","",Equations!$C$6+Equations!$C$7*S16+Equations!$C$8*T16+Equations!$C$9*U16+Equations!$C$10*S16^2+Equations!$C$11*S16*T16+Equations!$C$12*S16*U16+Equations!$C$13*T16^2+Equations!$C$14*T16*U16+Equations!$C$15*U16^2)</f>
        <v/>
      </c>
      <c r="W16" s="22" t="str">
        <f>IF($B16="","",Equations!$D$6+Equations!$D$7*S16+Equations!$D$8*T16+Equations!$D$10*S16^2+Equations!$D$11*S16*T16+Equations!$D$13*T16^2)</f>
        <v/>
      </c>
      <c r="X16" s="22" t="str">
        <f>IF($B16="","",Equations!$E$6+Equations!$E$8*T16+Equations!$E$10*S16^2+Equations!$E$11*S16*T16+Equations!$E$13*T16^2+Equations!$E$15*U16^2)</f>
        <v/>
      </c>
      <c r="Y16" s="22" t="str">
        <f>IF($B16="","",Equations!$F$6+Equations!$F$10*S16^2+Equations!$F$11*S16*T16)</f>
        <v/>
      </c>
      <c r="Z16" s="56" t="str">
        <f t="shared" si="7"/>
        <v/>
      </c>
      <c r="AA16" s="56" t="str">
        <f t="shared" si="8"/>
        <v/>
      </c>
      <c r="AB16" s="56" t="str">
        <f t="shared" si="9"/>
        <v/>
      </c>
      <c r="AC16" s="56" t="str">
        <f t="shared" si="10"/>
        <v/>
      </c>
    </row>
    <row r="17" spans="1:29" x14ac:dyDescent="0.25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22" t="str">
        <f t="shared" si="0"/>
        <v/>
      </c>
      <c r="P17" s="22" t="str">
        <f t="shared" si="1"/>
        <v/>
      </c>
      <c r="Q17" s="22" t="str">
        <f t="shared" si="2"/>
        <v/>
      </c>
      <c r="R17" s="22" t="str">
        <f t="shared" si="3"/>
        <v/>
      </c>
      <c r="S17" s="22" t="str">
        <f t="shared" si="4"/>
        <v/>
      </c>
      <c r="T17" s="22" t="str">
        <f t="shared" si="5"/>
        <v/>
      </c>
      <c r="U17" s="22" t="str">
        <f t="shared" si="6"/>
        <v/>
      </c>
      <c r="V17" s="22" t="str">
        <f>IF($B17="","",Equations!$C$6+Equations!$C$7*S17+Equations!$C$8*T17+Equations!$C$9*U17+Equations!$C$10*S17^2+Equations!$C$11*S17*T17+Equations!$C$12*S17*U17+Equations!$C$13*T17^2+Equations!$C$14*T17*U17+Equations!$C$15*U17^2)</f>
        <v/>
      </c>
      <c r="W17" s="22" t="str">
        <f>IF($B17="","",Equations!$D$6+Equations!$D$7*S17+Equations!$D$8*T17+Equations!$D$10*S17^2+Equations!$D$11*S17*T17+Equations!$D$13*T17^2)</f>
        <v/>
      </c>
      <c r="X17" s="22" t="str">
        <f>IF($B17="","",Equations!$E$6+Equations!$E$8*T17+Equations!$E$10*S17^2+Equations!$E$11*S17*T17+Equations!$E$13*T17^2+Equations!$E$15*U17^2)</f>
        <v/>
      </c>
      <c r="Y17" s="22" t="str">
        <f>IF($B17="","",Equations!$F$6+Equations!$F$10*S17^2+Equations!$F$11*S17*T17)</f>
        <v/>
      </c>
      <c r="Z17" s="56" t="str">
        <f t="shared" si="7"/>
        <v/>
      </c>
      <c r="AA17" s="56" t="str">
        <f t="shared" si="8"/>
        <v/>
      </c>
      <c r="AB17" s="56" t="str">
        <f t="shared" si="9"/>
        <v/>
      </c>
      <c r="AC17" s="56" t="str">
        <f t="shared" si="10"/>
        <v/>
      </c>
    </row>
    <row r="18" spans="1:29" x14ac:dyDescent="0.25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22" t="str">
        <f t="shared" si="0"/>
        <v/>
      </c>
      <c r="P18" s="22" t="str">
        <f t="shared" si="1"/>
        <v/>
      </c>
      <c r="Q18" s="22" t="str">
        <f t="shared" si="2"/>
        <v/>
      </c>
      <c r="R18" s="22" t="str">
        <f t="shared" si="3"/>
        <v/>
      </c>
      <c r="S18" s="22" t="str">
        <f t="shared" si="4"/>
        <v/>
      </c>
      <c r="T18" s="22" t="str">
        <f t="shared" si="5"/>
        <v/>
      </c>
      <c r="U18" s="22" t="str">
        <f t="shared" si="6"/>
        <v/>
      </c>
      <c r="V18" s="22" t="str">
        <f>IF($B18="","",Equations!$C$6+Equations!$C$7*S18+Equations!$C$8*T18+Equations!$C$9*U18+Equations!$C$10*S18^2+Equations!$C$11*S18*T18+Equations!$C$12*S18*U18+Equations!$C$13*T18^2+Equations!$C$14*T18*U18+Equations!$C$15*U18^2)</f>
        <v/>
      </c>
      <c r="W18" s="22" t="str">
        <f>IF($B18="","",Equations!$D$6+Equations!$D$7*S18+Equations!$D$8*T18+Equations!$D$10*S18^2+Equations!$D$11*S18*T18+Equations!$D$13*T18^2)</f>
        <v/>
      </c>
      <c r="X18" s="22" t="str">
        <f>IF($B18="","",Equations!$E$6+Equations!$E$8*T18+Equations!$E$10*S18^2+Equations!$E$11*S18*T18+Equations!$E$13*T18^2+Equations!$E$15*U18^2)</f>
        <v/>
      </c>
      <c r="Y18" s="22" t="str">
        <f>IF($B18="","",Equations!$F$6+Equations!$F$10*S18^2+Equations!$F$11*S18*T18)</f>
        <v/>
      </c>
      <c r="Z18" s="56" t="str">
        <f t="shared" si="7"/>
        <v/>
      </c>
      <c r="AA18" s="56" t="str">
        <f t="shared" si="8"/>
        <v/>
      </c>
      <c r="AB18" s="56" t="str">
        <f t="shared" si="9"/>
        <v/>
      </c>
      <c r="AC18" s="56" t="str">
        <f t="shared" si="10"/>
        <v/>
      </c>
    </row>
    <row r="19" spans="1:29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22" t="str">
        <f t="shared" si="0"/>
        <v/>
      </c>
      <c r="P19" s="22" t="str">
        <f t="shared" si="1"/>
        <v/>
      </c>
      <c r="Q19" s="22" t="str">
        <f t="shared" si="2"/>
        <v/>
      </c>
      <c r="R19" s="22" t="str">
        <f t="shared" si="3"/>
        <v/>
      </c>
      <c r="S19" s="22" t="str">
        <f t="shared" si="4"/>
        <v/>
      </c>
      <c r="T19" s="22" t="str">
        <f t="shared" si="5"/>
        <v/>
      </c>
      <c r="U19" s="22" t="str">
        <f t="shared" si="6"/>
        <v/>
      </c>
      <c r="V19" s="22" t="str">
        <f>IF($B19="","",Equations!$C$6+Equations!$C$7*S19+Equations!$C$8*T19+Equations!$C$9*U19+Equations!$C$10*S19^2+Equations!$C$11*S19*T19+Equations!$C$12*S19*U19+Equations!$C$13*T19^2+Equations!$C$14*T19*U19+Equations!$C$15*U19^2)</f>
        <v/>
      </c>
      <c r="W19" s="22" t="str">
        <f>IF($B19="","",Equations!$D$6+Equations!$D$7*S19+Equations!$D$8*T19+Equations!$D$10*S19^2+Equations!$D$11*S19*T19+Equations!$D$13*T19^2)</f>
        <v/>
      </c>
      <c r="X19" s="22" t="str">
        <f>IF($B19="","",Equations!$E$6+Equations!$E$8*T19+Equations!$E$10*S19^2+Equations!$E$11*S19*T19+Equations!$E$13*T19^2+Equations!$E$15*U19^2)</f>
        <v/>
      </c>
      <c r="Y19" s="22" t="str">
        <f>IF($B19="","",Equations!$F$6+Equations!$F$10*S19^2+Equations!$F$11*S19*T19)</f>
        <v/>
      </c>
      <c r="Z19" s="56" t="str">
        <f t="shared" si="7"/>
        <v/>
      </c>
      <c r="AA19" s="56" t="str">
        <f t="shared" si="8"/>
        <v/>
      </c>
      <c r="AB19" s="56" t="str">
        <f t="shared" si="9"/>
        <v/>
      </c>
      <c r="AC19" s="56" t="str">
        <f t="shared" si="10"/>
        <v/>
      </c>
    </row>
    <row r="20" spans="1:29" x14ac:dyDescent="0.25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22" t="str">
        <f t="shared" si="0"/>
        <v/>
      </c>
      <c r="P20" s="22" t="str">
        <f t="shared" si="1"/>
        <v/>
      </c>
      <c r="Q20" s="22" t="str">
        <f t="shared" si="2"/>
        <v/>
      </c>
      <c r="R20" s="22" t="str">
        <f t="shared" si="3"/>
        <v/>
      </c>
      <c r="S20" s="22" t="str">
        <f t="shared" si="4"/>
        <v/>
      </c>
      <c r="T20" s="22" t="str">
        <f t="shared" si="5"/>
        <v/>
      </c>
      <c r="U20" s="22" t="str">
        <f t="shared" si="6"/>
        <v/>
      </c>
      <c r="V20" s="22" t="str">
        <f>IF($B20="","",Equations!$C$6+Equations!$C$7*S20+Equations!$C$8*T20+Equations!$C$9*U20+Equations!$C$10*S20^2+Equations!$C$11*S20*T20+Equations!$C$12*S20*U20+Equations!$C$13*T20^2+Equations!$C$14*T20*U20+Equations!$C$15*U20^2)</f>
        <v/>
      </c>
      <c r="W20" s="22" t="str">
        <f>IF($B20="","",Equations!$D$6+Equations!$D$7*S20+Equations!$D$8*T20+Equations!$D$10*S20^2+Equations!$D$11*S20*T20+Equations!$D$13*T20^2)</f>
        <v/>
      </c>
      <c r="X20" s="22" t="str">
        <f>IF($B20="","",Equations!$E$6+Equations!$E$8*T20+Equations!$E$10*S20^2+Equations!$E$11*S20*T20+Equations!$E$13*T20^2+Equations!$E$15*U20^2)</f>
        <v/>
      </c>
      <c r="Y20" s="22" t="str">
        <f>IF($B20="","",Equations!$F$6+Equations!$F$10*S20^2+Equations!$F$11*S20*T20)</f>
        <v/>
      </c>
      <c r="Z20" s="56" t="str">
        <f t="shared" si="7"/>
        <v/>
      </c>
      <c r="AA20" s="56" t="str">
        <f t="shared" si="8"/>
        <v/>
      </c>
      <c r="AB20" s="56" t="str">
        <f t="shared" si="9"/>
        <v/>
      </c>
      <c r="AC20" s="56" t="str">
        <f t="shared" si="10"/>
        <v/>
      </c>
    </row>
    <row r="21" spans="1:29" x14ac:dyDescent="0.2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22" t="str">
        <f t="shared" si="0"/>
        <v/>
      </c>
      <c r="P21" s="22" t="str">
        <f t="shared" si="1"/>
        <v/>
      </c>
      <c r="Q21" s="22" t="str">
        <f t="shared" si="2"/>
        <v/>
      </c>
      <c r="R21" s="22" t="str">
        <f t="shared" si="3"/>
        <v/>
      </c>
      <c r="S21" s="22" t="str">
        <f t="shared" si="4"/>
        <v/>
      </c>
      <c r="T21" s="22" t="str">
        <f t="shared" si="5"/>
        <v/>
      </c>
      <c r="U21" s="22" t="str">
        <f t="shared" si="6"/>
        <v/>
      </c>
      <c r="V21" s="22" t="str">
        <f>IF($B21="","",Equations!$C$6+Equations!$C$7*S21+Equations!$C$8*T21+Equations!$C$9*U21+Equations!$C$10*S21^2+Equations!$C$11*S21*T21+Equations!$C$12*S21*U21+Equations!$C$13*T21^2+Equations!$C$14*T21*U21+Equations!$C$15*U21^2)</f>
        <v/>
      </c>
      <c r="W21" s="22" t="str">
        <f>IF($B21="","",Equations!$D$6+Equations!$D$7*S21+Equations!$D$8*T21+Equations!$D$10*S21^2+Equations!$D$11*S21*T21+Equations!$D$13*T21^2)</f>
        <v/>
      </c>
      <c r="X21" s="22" t="str">
        <f>IF($B21="","",Equations!$E$6+Equations!$E$8*T21+Equations!$E$10*S21^2+Equations!$E$11*S21*T21+Equations!$E$13*T21^2+Equations!$E$15*U21^2)</f>
        <v/>
      </c>
      <c r="Y21" s="22" t="str">
        <f>IF($B21="","",Equations!$F$6+Equations!$F$10*S21^2+Equations!$F$11*S21*T21)</f>
        <v/>
      </c>
      <c r="Z21" s="56" t="str">
        <f t="shared" si="7"/>
        <v/>
      </c>
      <c r="AA21" s="56" t="str">
        <f t="shared" si="8"/>
        <v/>
      </c>
      <c r="AB21" s="56" t="str">
        <f t="shared" si="9"/>
        <v/>
      </c>
      <c r="AC21" s="56" t="str">
        <f t="shared" si="10"/>
        <v/>
      </c>
    </row>
    <row r="22" spans="1:29" x14ac:dyDescent="0.25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22" t="str">
        <f t="shared" si="0"/>
        <v/>
      </c>
      <c r="P22" s="22" t="str">
        <f t="shared" si="1"/>
        <v/>
      </c>
      <c r="Q22" s="22" t="str">
        <f t="shared" si="2"/>
        <v/>
      </c>
      <c r="R22" s="22" t="str">
        <f t="shared" si="3"/>
        <v/>
      </c>
      <c r="S22" s="22" t="str">
        <f t="shared" si="4"/>
        <v/>
      </c>
      <c r="T22" s="22" t="str">
        <f t="shared" si="5"/>
        <v/>
      </c>
      <c r="U22" s="22" t="str">
        <f t="shared" si="6"/>
        <v/>
      </c>
      <c r="V22" s="22" t="str">
        <f>IF($B22="","",Equations!$C$6+Equations!$C$7*S22+Equations!$C$8*T22+Equations!$C$9*U22+Equations!$C$10*S22^2+Equations!$C$11*S22*T22+Equations!$C$12*S22*U22+Equations!$C$13*T22^2+Equations!$C$14*T22*U22+Equations!$C$15*U22^2)</f>
        <v/>
      </c>
      <c r="W22" s="22" t="str">
        <f>IF($B22="","",Equations!$D$6+Equations!$D$7*S22+Equations!$D$8*T22+Equations!$D$10*S22^2+Equations!$D$11*S22*T22+Equations!$D$13*T22^2)</f>
        <v/>
      </c>
      <c r="X22" s="22" t="str">
        <f>IF($B22="","",Equations!$E$6+Equations!$E$8*T22+Equations!$E$10*S22^2+Equations!$E$11*S22*T22+Equations!$E$13*T22^2+Equations!$E$15*U22^2)</f>
        <v/>
      </c>
      <c r="Y22" s="22" t="str">
        <f>IF($B22="","",Equations!$F$6+Equations!$F$10*S22^2+Equations!$F$11*S22*T22)</f>
        <v/>
      </c>
      <c r="Z22" s="56" t="str">
        <f t="shared" si="7"/>
        <v/>
      </c>
      <c r="AA22" s="56" t="str">
        <f t="shared" si="8"/>
        <v/>
      </c>
      <c r="AB22" s="56" t="str">
        <f t="shared" si="9"/>
        <v/>
      </c>
      <c r="AC22" s="56" t="str">
        <f t="shared" si="10"/>
        <v/>
      </c>
    </row>
    <row r="23" spans="1:29" x14ac:dyDescent="0.25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22" t="str">
        <f t="shared" si="0"/>
        <v/>
      </c>
      <c r="P23" s="22" t="str">
        <f t="shared" si="1"/>
        <v/>
      </c>
      <c r="Q23" s="22" t="str">
        <f t="shared" si="2"/>
        <v/>
      </c>
      <c r="R23" s="22" t="str">
        <f t="shared" si="3"/>
        <v/>
      </c>
      <c r="S23" s="22" t="str">
        <f t="shared" si="4"/>
        <v/>
      </c>
      <c r="T23" s="22" t="str">
        <f t="shared" si="5"/>
        <v/>
      </c>
      <c r="U23" s="22" t="str">
        <f t="shared" si="6"/>
        <v/>
      </c>
      <c r="V23" s="22" t="str">
        <f>IF($B23="","",Equations!$C$6+Equations!$C$7*S23+Equations!$C$8*T23+Equations!$C$9*U23+Equations!$C$10*S23^2+Equations!$C$11*S23*T23+Equations!$C$12*S23*U23+Equations!$C$13*T23^2+Equations!$C$14*T23*U23+Equations!$C$15*U23^2)</f>
        <v/>
      </c>
      <c r="W23" s="22" t="str">
        <f>IF($B23="","",Equations!$D$6+Equations!$D$7*S23+Equations!$D$8*T23+Equations!$D$10*S23^2+Equations!$D$11*S23*T23+Equations!$D$13*T23^2)</f>
        <v/>
      </c>
      <c r="X23" s="22" t="str">
        <f>IF($B23="","",Equations!$E$6+Equations!$E$8*T23+Equations!$E$10*S23^2+Equations!$E$11*S23*T23+Equations!$E$13*T23^2+Equations!$E$15*U23^2)</f>
        <v/>
      </c>
      <c r="Y23" s="22" t="str">
        <f>IF($B23="","",Equations!$F$6+Equations!$F$10*S23^2+Equations!$F$11*S23*T23)</f>
        <v/>
      </c>
      <c r="Z23" s="56" t="str">
        <f t="shared" si="7"/>
        <v/>
      </c>
      <c r="AA23" s="56" t="str">
        <f t="shared" si="8"/>
        <v/>
      </c>
      <c r="AB23" s="56" t="str">
        <f t="shared" si="9"/>
        <v/>
      </c>
      <c r="AC23" s="56" t="str">
        <f t="shared" si="10"/>
        <v/>
      </c>
    </row>
    <row r="24" spans="1:29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22" t="str">
        <f t="shared" si="0"/>
        <v/>
      </c>
      <c r="P24" s="22" t="str">
        <f t="shared" si="1"/>
        <v/>
      </c>
      <c r="Q24" s="22" t="str">
        <f t="shared" si="2"/>
        <v/>
      </c>
      <c r="R24" s="22" t="str">
        <f t="shared" si="3"/>
        <v/>
      </c>
      <c r="S24" s="22" t="str">
        <f t="shared" si="4"/>
        <v/>
      </c>
      <c r="T24" s="22" t="str">
        <f t="shared" si="5"/>
        <v/>
      </c>
      <c r="U24" s="22" t="str">
        <f t="shared" si="6"/>
        <v/>
      </c>
      <c r="V24" s="22" t="str">
        <f>IF($B24="","",Equations!$C$6+Equations!$C$7*S24+Equations!$C$8*T24+Equations!$C$9*U24+Equations!$C$10*S24^2+Equations!$C$11*S24*T24+Equations!$C$12*S24*U24+Equations!$C$13*T24^2+Equations!$C$14*T24*U24+Equations!$C$15*U24^2)</f>
        <v/>
      </c>
      <c r="W24" s="22" t="str">
        <f>IF($B24="","",Equations!$D$6+Equations!$D$7*S24+Equations!$D$8*T24+Equations!$D$10*S24^2+Equations!$D$11*S24*T24+Equations!$D$13*T24^2)</f>
        <v/>
      </c>
      <c r="X24" s="22" t="str">
        <f>IF($B24="","",Equations!$E$6+Equations!$E$8*T24+Equations!$E$10*S24^2+Equations!$E$11*S24*T24+Equations!$E$13*T24^2+Equations!$E$15*U24^2)</f>
        <v/>
      </c>
      <c r="Y24" s="22" t="str">
        <f>IF($B24="","",Equations!$F$6+Equations!$F$10*S24^2+Equations!$F$11*S24*T24)</f>
        <v/>
      </c>
      <c r="Z24" s="56" t="str">
        <f t="shared" si="7"/>
        <v/>
      </c>
      <c r="AA24" s="56" t="str">
        <f t="shared" si="8"/>
        <v/>
      </c>
      <c r="AB24" s="56" t="str">
        <f t="shared" si="9"/>
        <v/>
      </c>
      <c r="AC24" s="56" t="str">
        <f t="shared" si="10"/>
        <v/>
      </c>
    </row>
    <row r="25" spans="1:29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22" t="str">
        <f t="shared" si="0"/>
        <v/>
      </c>
      <c r="P25" s="22" t="str">
        <f t="shared" si="1"/>
        <v/>
      </c>
      <c r="Q25" s="22" t="str">
        <f t="shared" si="2"/>
        <v/>
      </c>
      <c r="R25" s="22" t="str">
        <f t="shared" si="3"/>
        <v/>
      </c>
      <c r="S25" s="22" t="str">
        <f t="shared" si="4"/>
        <v/>
      </c>
      <c r="T25" s="22" t="str">
        <f t="shared" si="5"/>
        <v/>
      </c>
      <c r="U25" s="22" t="str">
        <f t="shared" si="6"/>
        <v/>
      </c>
      <c r="V25" s="22" t="str">
        <f>IF($B25="","",Equations!$C$6+Equations!$C$7*S25+Equations!$C$8*T25+Equations!$C$9*U25+Equations!$C$10*S25^2+Equations!$C$11*S25*T25+Equations!$C$12*S25*U25+Equations!$C$13*T25^2+Equations!$C$14*T25*U25+Equations!$C$15*U25^2)</f>
        <v/>
      </c>
      <c r="W25" s="22" t="str">
        <f>IF($B25="","",Equations!$D$6+Equations!$D$7*S25+Equations!$D$8*T25+Equations!$D$10*S25^2+Equations!$D$11*S25*T25+Equations!$D$13*T25^2)</f>
        <v/>
      </c>
      <c r="X25" s="22" t="str">
        <f>IF($B25="","",Equations!$E$6+Equations!$E$8*T25+Equations!$E$10*S25^2+Equations!$E$11*S25*T25+Equations!$E$13*T25^2+Equations!$E$15*U25^2)</f>
        <v/>
      </c>
      <c r="Y25" s="22" t="str">
        <f>IF($B25="","",Equations!$F$6+Equations!$F$10*S25^2+Equations!$F$11*S25*T25)</f>
        <v/>
      </c>
      <c r="Z25" s="56" t="str">
        <f t="shared" si="7"/>
        <v/>
      </c>
      <c r="AA25" s="56" t="str">
        <f t="shared" si="8"/>
        <v/>
      </c>
      <c r="AB25" s="56" t="str">
        <f t="shared" si="9"/>
        <v/>
      </c>
      <c r="AC25" s="56" t="str">
        <f t="shared" si="10"/>
        <v/>
      </c>
    </row>
    <row r="26" spans="1:29" x14ac:dyDescent="0.25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22" t="str">
        <f t="shared" si="0"/>
        <v/>
      </c>
      <c r="P26" s="22" t="str">
        <f t="shared" si="1"/>
        <v/>
      </c>
      <c r="Q26" s="22" t="str">
        <f t="shared" si="2"/>
        <v/>
      </c>
      <c r="R26" s="22" t="str">
        <f t="shared" si="3"/>
        <v/>
      </c>
      <c r="S26" s="22" t="str">
        <f t="shared" si="4"/>
        <v/>
      </c>
      <c r="T26" s="22" t="str">
        <f t="shared" si="5"/>
        <v/>
      </c>
      <c r="U26" s="22" t="str">
        <f t="shared" si="6"/>
        <v/>
      </c>
      <c r="V26" s="22" t="str">
        <f>IF($B26="","",Equations!$C$6+Equations!$C$7*S26+Equations!$C$8*T26+Equations!$C$9*U26+Equations!$C$10*S26^2+Equations!$C$11*S26*T26+Equations!$C$12*S26*U26+Equations!$C$13*T26^2+Equations!$C$14*T26*U26+Equations!$C$15*U26^2)</f>
        <v/>
      </c>
      <c r="W26" s="22" t="str">
        <f>IF($B26="","",Equations!$D$6+Equations!$D$7*S26+Equations!$D$8*T26+Equations!$D$10*S26^2+Equations!$D$11*S26*T26+Equations!$D$13*T26^2)</f>
        <v/>
      </c>
      <c r="X26" s="22" t="str">
        <f>IF($B26="","",Equations!$E$6+Equations!$E$8*T26+Equations!$E$10*S26^2+Equations!$E$11*S26*T26+Equations!$E$13*T26^2+Equations!$E$15*U26^2)</f>
        <v/>
      </c>
      <c r="Y26" s="22" t="str">
        <f>IF($B26="","",Equations!$F$6+Equations!$F$10*S26^2+Equations!$F$11*S26*T26)</f>
        <v/>
      </c>
      <c r="Z26" s="56" t="str">
        <f t="shared" si="7"/>
        <v/>
      </c>
      <c r="AA26" s="56" t="str">
        <f t="shared" si="8"/>
        <v/>
      </c>
      <c r="AB26" s="56" t="str">
        <f t="shared" si="9"/>
        <v/>
      </c>
      <c r="AC26" s="56" t="str">
        <f t="shared" si="10"/>
        <v/>
      </c>
    </row>
    <row r="27" spans="1:29" x14ac:dyDescent="0.25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22" t="str">
        <f t="shared" si="0"/>
        <v/>
      </c>
      <c r="P27" s="22" t="str">
        <f t="shared" si="1"/>
        <v/>
      </c>
      <c r="Q27" s="22" t="str">
        <f t="shared" si="2"/>
        <v/>
      </c>
      <c r="R27" s="22" t="str">
        <f t="shared" si="3"/>
        <v/>
      </c>
      <c r="S27" s="22" t="str">
        <f t="shared" si="4"/>
        <v/>
      </c>
      <c r="T27" s="22" t="str">
        <f t="shared" si="5"/>
        <v/>
      </c>
      <c r="U27" s="22" t="str">
        <f t="shared" si="6"/>
        <v/>
      </c>
      <c r="V27" s="22" t="str">
        <f>IF($B27="","",Equations!$C$6+Equations!$C$7*S27+Equations!$C$8*T27+Equations!$C$9*U27+Equations!$C$10*S27^2+Equations!$C$11*S27*T27+Equations!$C$12*S27*U27+Equations!$C$13*T27^2+Equations!$C$14*T27*U27+Equations!$C$15*U27^2)</f>
        <v/>
      </c>
      <c r="W27" s="22" t="str">
        <f>IF($B27="","",Equations!$D$6+Equations!$D$7*S27+Equations!$D$8*T27+Equations!$D$10*S27^2+Equations!$D$11*S27*T27+Equations!$D$13*T27^2)</f>
        <v/>
      </c>
      <c r="X27" s="22" t="str">
        <f>IF($B27="","",Equations!$E$6+Equations!$E$8*T27+Equations!$E$10*S27^2+Equations!$E$11*S27*T27+Equations!$E$13*T27^2+Equations!$E$15*U27^2)</f>
        <v/>
      </c>
      <c r="Y27" s="22" t="str">
        <f>IF($B27="","",Equations!$F$6+Equations!$F$10*S27^2+Equations!$F$11*S27*T27)</f>
        <v/>
      </c>
      <c r="Z27" s="56" t="str">
        <f t="shared" si="7"/>
        <v/>
      </c>
      <c r="AA27" s="56" t="str">
        <f t="shared" si="8"/>
        <v/>
      </c>
      <c r="AB27" s="56" t="str">
        <f t="shared" si="9"/>
        <v/>
      </c>
      <c r="AC27" s="56" t="str">
        <f t="shared" si="10"/>
        <v/>
      </c>
    </row>
    <row r="28" spans="1:29" x14ac:dyDescent="0.25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22" t="str">
        <f t="shared" si="0"/>
        <v/>
      </c>
      <c r="P28" s="22" t="str">
        <f t="shared" si="1"/>
        <v/>
      </c>
      <c r="Q28" s="22" t="str">
        <f t="shared" si="2"/>
        <v/>
      </c>
      <c r="R28" s="22" t="str">
        <f t="shared" si="3"/>
        <v/>
      </c>
      <c r="S28" s="22" t="str">
        <f t="shared" si="4"/>
        <v/>
      </c>
      <c r="T28" s="22" t="str">
        <f t="shared" si="5"/>
        <v/>
      </c>
      <c r="U28" s="22" t="str">
        <f t="shared" si="6"/>
        <v/>
      </c>
      <c r="V28" s="22" t="str">
        <f>IF($B28="","",Equations!$C$6+Equations!$C$7*S28+Equations!$C$8*T28+Equations!$C$9*U28+Equations!$C$10*S28^2+Equations!$C$11*S28*T28+Equations!$C$12*S28*U28+Equations!$C$13*T28^2+Equations!$C$14*T28*U28+Equations!$C$15*U28^2)</f>
        <v/>
      </c>
      <c r="W28" s="22" t="str">
        <f>IF($B28="","",Equations!$D$6+Equations!$D$7*S28+Equations!$D$8*T28+Equations!$D$10*S28^2+Equations!$D$11*S28*T28+Equations!$D$13*T28^2)</f>
        <v/>
      </c>
      <c r="X28" s="22" t="str">
        <f>IF($B28="","",Equations!$E$6+Equations!$E$8*T28+Equations!$E$10*S28^2+Equations!$E$11*S28*T28+Equations!$E$13*T28^2+Equations!$E$15*U28^2)</f>
        <v/>
      </c>
      <c r="Y28" s="22" t="str">
        <f>IF($B28="","",Equations!$F$6+Equations!$F$10*S28^2+Equations!$F$11*S28*T28)</f>
        <v/>
      </c>
      <c r="Z28" s="56" t="str">
        <f t="shared" si="7"/>
        <v/>
      </c>
      <c r="AA28" s="56" t="str">
        <f t="shared" si="8"/>
        <v/>
      </c>
      <c r="AB28" s="56" t="str">
        <f t="shared" si="9"/>
        <v/>
      </c>
      <c r="AC28" s="56" t="str">
        <f t="shared" si="10"/>
        <v/>
      </c>
    </row>
    <row r="29" spans="1:29" x14ac:dyDescent="0.2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22" t="str">
        <f t="shared" si="0"/>
        <v/>
      </c>
      <c r="P29" s="22" t="str">
        <f t="shared" si="1"/>
        <v/>
      </c>
      <c r="Q29" s="22" t="str">
        <f t="shared" si="2"/>
        <v/>
      </c>
      <c r="R29" s="22" t="str">
        <f t="shared" si="3"/>
        <v/>
      </c>
      <c r="S29" s="22" t="str">
        <f t="shared" si="4"/>
        <v/>
      </c>
      <c r="T29" s="22" t="str">
        <f t="shared" si="5"/>
        <v/>
      </c>
      <c r="U29" s="22" t="str">
        <f t="shared" si="6"/>
        <v/>
      </c>
      <c r="V29" s="22" t="str">
        <f>IF($B29="","",Equations!$C$6+Equations!$C$7*S29+Equations!$C$8*T29+Equations!$C$9*U29+Equations!$C$10*S29^2+Equations!$C$11*S29*T29+Equations!$C$12*S29*U29+Equations!$C$13*T29^2+Equations!$C$14*T29*U29+Equations!$C$15*U29^2)</f>
        <v/>
      </c>
      <c r="W29" s="22" t="str">
        <f>IF($B29="","",Equations!$D$6+Equations!$D$7*S29+Equations!$D$8*T29+Equations!$D$10*S29^2+Equations!$D$11*S29*T29+Equations!$D$13*T29^2)</f>
        <v/>
      </c>
      <c r="X29" s="22" t="str">
        <f>IF($B29="","",Equations!$E$6+Equations!$E$8*T29+Equations!$E$10*S29^2+Equations!$E$11*S29*T29+Equations!$E$13*T29^2+Equations!$E$15*U29^2)</f>
        <v/>
      </c>
      <c r="Y29" s="22" t="str">
        <f>IF($B29="","",Equations!$F$6+Equations!$F$10*S29^2+Equations!$F$11*S29*T29)</f>
        <v/>
      </c>
      <c r="Z29" s="56" t="str">
        <f t="shared" si="7"/>
        <v/>
      </c>
      <c r="AA29" s="56" t="str">
        <f t="shared" si="8"/>
        <v/>
      </c>
      <c r="AB29" s="56" t="str">
        <f t="shared" si="9"/>
        <v/>
      </c>
      <c r="AC29" s="56" t="str">
        <f t="shared" si="10"/>
        <v/>
      </c>
    </row>
    <row r="30" spans="1:29" x14ac:dyDescent="0.25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22" t="str">
        <f t="shared" si="0"/>
        <v/>
      </c>
      <c r="P30" s="22" t="str">
        <f t="shared" si="1"/>
        <v/>
      </c>
      <c r="Q30" s="22" t="str">
        <f t="shared" si="2"/>
        <v/>
      </c>
      <c r="R30" s="22" t="str">
        <f t="shared" si="3"/>
        <v/>
      </c>
      <c r="S30" s="22" t="str">
        <f t="shared" si="4"/>
        <v/>
      </c>
      <c r="T30" s="22" t="str">
        <f t="shared" si="5"/>
        <v/>
      </c>
      <c r="U30" s="22" t="str">
        <f t="shared" si="6"/>
        <v/>
      </c>
      <c r="V30" s="22" t="str">
        <f>IF($B30="","",Equations!$C$6+Equations!$C$7*S30+Equations!$C$8*T30+Equations!$C$9*U30+Equations!$C$10*S30^2+Equations!$C$11*S30*T30+Equations!$C$12*S30*U30+Equations!$C$13*T30^2+Equations!$C$14*T30*U30+Equations!$C$15*U30^2)</f>
        <v/>
      </c>
      <c r="W30" s="22" t="str">
        <f>IF($B30="","",Equations!$D$6+Equations!$D$7*S30+Equations!$D$8*T30+Equations!$D$10*S30^2+Equations!$D$11*S30*T30+Equations!$D$13*T30^2)</f>
        <v/>
      </c>
      <c r="X30" s="22" t="str">
        <f>IF($B30="","",Equations!$E$6+Equations!$E$8*T30+Equations!$E$10*S30^2+Equations!$E$11*S30*T30+Equations!$E$13*T30^2+Equations!$E$15*U30^2)</f>
        <v/>
      </c>
      <c r="Y30" s="22" t="str">
        <f>IF($B30="","",Equations!$F$6+Equations!$F$10*S30^2+Equations!$F$11*S30*T30)</f>
        <v/>
      </c>
      <c r="Z30" s="56" t="str">
        <f t="shared" si="7"/>
        <v/>
      </c>
      <c r="AA30" s="56" t="str">
        <f t="shared" si="8"/>
        <v/>
      </c>
      <c r="AB30" s="56" t="str">
        <f t="shared" si="9"/>
        <v/>
      </c>
      <c r="AC30" s="56" t="str">
        <f t="shared" si="10"/>
        <v/>
      </c>
    </row>
    <row r="31" spans="1:29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22" t="str">
        <f t="shared" si="0"/>
        <v/>
      </c>
      <c r="P31" s="22" t="str">
        <f t="shared" si="1"/>
        <v/>
      </c>
      <c r="Q31" s="22" t="str">
        <f t="shared" si="2"/>
        <v/>
      </c>
      <c r="R31" s="22" t="str">
        <f t="shared" si="3"/>
        <v/>
      </c>
      <c r="S31" s="22" t="str">
        <f t="shared" si="4"/>
        <v/>
      </c>
      <c r="T31" s="22" t="str">
        <f t="shared" si="5"/>
        <v/>
      </c>
      <c r="U31" s="22" t="str">
        <f t="shared" si="6"/>
        <v/>
      </c>
      <c r="V31" s="22" t="str">
        <f>IF($B31="","",Equations!$C$6+Equations!$C$7*S31+Equations!$C$8*T31+Equations!$C$9*U31+Equations!$C$10*S31^2+Equations!$C$11*S31*T31+Equations!$C$12*S31*U31+Equations!$C$13*T31^2+Equations!$C$14*T31*U31+Equations!$C$15*U31^2)</f>
        <v/>
      </c>
      <c r="W31" s="22" t="str">
        <f>IF($B31="","",Equations!$D$6+Equations!$D$7*S31+Equations!$D$8*T31+Equations!$D$10*S31^2+Equations!$D$11*S31*T31+Equations!$D$13*T31^2)</f>
        <v/>
      </c>
      <c r="X31" s="22" t="str">
        <f>IF($B31="","",Equations!$E$6+Equations!$E$8*T31+Equations!$E$10*S31^2+Equations!$E$11*S31*T31+Equations!$E$13*T31^2+Equations!$E$15*U31^2)</f>
        <v/>
      </c>
      <c r="Y31" s="22" t="str">
        <f>IF($B31="","",Equations!$F$6+Equations!$F$10*S31^2+Equations!$F$11*S31*T31)</f>
        <v/>
      </c>
      <c r="Z31" s="56" t="str">
        <f t="shared" si="7"/>
        <v/>
      </c>
      <c r="AA31" s="56" t="str">
        <f t="shared" si="8"/>
        <v/>
      </c>
      <c r="AB31" s="56" t="str">
        <f t="shared" si="9"/>
        <v/>
      </c>
      <c r="AC31" s="56" t="str">
        <f t="shared" si="10"/>
        <v/>
      </c>
    </row>
    <row r="32" spans="1:29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22" t="str">
        <f t="shared" si="0"/>
        <v/>
      </c>
      <c r="P32" s="22" t="str">
        <f t="shared" si="1"/>
        <v/>
      </c>
      <c r="Q32" s="22" t="str">
        <f t="shared" si="2"/>
        <v/>
      </c>
      <c r="R32" s="22" t="str">
        <f t="shared" si="3"/>
        <v/>
      </c>
      <c r="S32" s="22" t="str">
        <f t="shared" si="4"/>
        <v/>
      </c>
      <c r="T32" s="22" t="str">
        <f t="shared" si="5"/>
        <v/>
      </c>
      <c r="U32" s="22" t="str">
        <f t="shared" si="6"/>
        <v/>
      </c>
      <c r="V32" s="22" t="str">
        <f>IF($B32="","",Equations!$C$6+Equations!$C$7*S32+Equations!$C$8*T32+Equations!$C$9*U32+Equations!$C$10*S32^2+Equations!$C$11*S32*T32+Equations!$C$12*S32*U32+Equations!$C$13*T32^2+Equations!$C$14*T32*U32+Equations!$C$15*U32^2)</f>
        <v/>
      </c>
      <c r="W32" s="22" t="str">
        <f>IF($B32="","",Equations!$D$6+Equations!$D$7*S32+Equations!$D$8*T32+Equations!$D$10*S32^2+Equations!$D$11*S32*T32+Equations!$D$13*T32^2)</f>
        <v/>
      </c>
      <c r="X32" s="22" t="str">
        <f>IF($B32="","",Equations!$E$6+Equations!$E$8*T32+Equations!$E$10*S32^2+Equations!$E$11*S32*T32+Equations!$E$13*T32^2+Equations!$E$15*U32^2)</f>
        <v/>
      </c>
      <c r="Y32" s="22" t="str">
        <f>IF($B32="","",Equations!$F$6+Equations!$F$10*S32^2+Equations!$F$11*S32*T32)</f>
        <v/>
      </c>
      <c r="Z32" s="56" t="str">
        <f t="shared" si="7"/>
        <v/>
      </c>
      <c r="AA32" s="56" t="str">
        <f t="shared" si="8"/>
        <v/>
      </c>
      <c r="AB32" s="56" t="str">
        <f t="shared" si="9"/>
        <v/>
      </c>
      <c r="AC32" s="56" t="str">
        <f t="shared" si="10"/>
        <v/>
      </c>
    </row>
    <row r="33" spans="1:29" x14ac:dyDescent="0.25">
      <c r="A33" s="54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22" t="str">
        <f t="shared" si="0"/>
        <v/>
      </c>
      <c r="P33" s="22" t="str">
        <f t="shared" si="1"/>
        <v/>
      </c>
      <c r="Q33" s="22" t="str">
        <f t="shared" si="2"/>
        <v/>
      </c>
      <c r="R33" s="22" t="str">
        <f t="shared" si="3"/>
        <v/>
      </c>
      <c r="S33" s="22" t="str">
        <f t="shared" si="4"/>
        <v/>
      </c>
      <c r="T33" s="22" t="str">
        <f t="shared" si="5"/>
        <v/>
      </c>
      <c r="U33" s="22" t="str">
        <f t="shared" si="6"/>
        <v/>
      </c>
      <c r="V33" s="22" t="str">
        <f>IF($B33="","",Equations!$C$6+Equations!$C$7*S33+Equations!$C$8*T33+Equations!$C$9*U33+Equations!$C$10*S33^2+Equations!$C$11*S33*T33+Equations!$C$12*S33*U33+Equations!$C$13*T33^2+Equations!$C$14*T33*U33+Equations!$C$15*U33^2)</f>
        <v/>
      </c>
      <c r="W33" s="22" t="str">
        <f>IF($B33="","",Equations!$D$6+Equations!$D$7*S33+Equations!$D$8*T33+Equations!$D$10*S33^2+Equations!$D$11*S33*T33+Equations!$D$13*T33^2)</f>
        <v/>
      </c>
      <c r="X33" s="22" t="str">
        <f>IF($B33="","",Equations!$E$6+Equations!$E$8*T33+Equations!$E$10*S33^2+Equations!$E$11*S33*T33+Equations!$E$13*T33^2+Equations!$E$15*U33^2)</f>
        <v/>
      </c>
      <c r="Y33" s="22" t="str">
        <f>IF($B33="","",Equations!$F$6+Equations!$F$10*S33^2+Equations!$F$11*S33*T33)</f>
        <v/>
      </c>
      <c r="Z33" s="56" t="str">
        <f t="shared" si="7"/>
        <v/>
      </c>
      <c r="AA33" s="56" t="str">
        <f t="shared" si="8"/>
        <v/>
      </c>
      <c r="AB33" s="56" t="str">
        <f t="shared" si="9"/>
        <v/>
      </c>
      <c r="AC33" s="56" t="str">
        <f t="shared" si="10"/>
        <v/>
      </c>
    </row>
    <row r="34" spans="1:29" x14ac:dyDescent="0.25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22" t="str">
        <f t="shared" si="0"/>
        <v/>
      </c>
      <c r="P34" s="22" t="str">
        <f t="shared" si="1"/>
        <v/>
      </c>
      <c r="Q34" s="22" t="str">
        <f t="shared" si="2"/>
        <v/>
      </c>
      <c r="R34" s="22" t="str">
        <f t="shared" si="3"/>
        <v/>
      </c>
      <c r="S34" s="22" t="str">
        <f t="shared" si="4"/>
        <v/>
      </c>
      <c r="T34" s="22" t="str">
        <f t="shared" si="5"/>
        <v/>
      </c>
      <c r="U34" s="22" t="str">
        <f t="shared" si="6"/>
        <v/>
      </c>
      <c r="V34" s="22" t="str">
        <f>IF($B34="","",Equations!$C$6+Equations!$C$7*S34+Equations!$C$8*T34+Equations!$C$9*U34+Equations!$C$10*S34^2+Equations!$C$11*S34*T34+Equations!$C$12*S34*U34+Equations!$C$13*T34^2+Equations!$C$14*T34*U34+Equations!$C$15*U34^2)</f>
        <v/>
      </c>
      <c r="W34" s="22" t="str">
        <f>IF($B34="","",Equations!$D$6+Equations!$D$7*S34+Equations!$D$8*T34+Equations!$D$10*S34^2+Equations!$D$11*S34*T34+Equations!$D$13*T34^2)</f>
        <v/>
      </c>
      <c r="X34" s="22" t="str">
        <f>IF($B34="","",Equations!$E$6+Equations!$E$8*T34+Equations!$E$10*S34^2+Equations!$E$11*S34*T34+Equations!$E$13*T34^2+Equations!$E$15*U34^2)</f>
        <v/>
      </c>
      <c r="Y34" s="22" t="str">
        <f>IF($B34="","",Equations!$F$6+Equations!$F$10*S34^2+Equations!$F$11*S34*T34)</f>
        <v/>
      </c>
      <c r="Z34" s="56" t="str">
        <f t="shared" si="7"/>
        <v/>
      </c>
      <c r="AA34" s="56" t="str">
        <f t="shared" si="8"/>
        <v/>
      </c>
      <c r="AB34" s="56" t="str">
        <f t="shared" si="9"/>
        <v/>
      </c>
      <c r="AC34" s="56" t="str">
        <f t="shared" si="10"/>
        <v/>
      </c>
    </row>
    <row r="35" spans="1:29" x14ac:dyDescent="0.25">
      <c r="A35" s="54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22" t="str">
        <f t="shared" si="0"/>
        <v/>
      </c>
      <c r="P35" s="22" t="str">
        <f t="shared" si="1"/>
        <v/>
      </c>
      <c r="Q35" s="22" t="str">
        <f t="shared" si="2"/>
        <v/>
      </c>
      <c r="R35" s="22" t="str">
        <f t="shared" si="3"/>
        <v/>
      </c>
      <c r="S35" s="22" t="str">
        <f t="shared" si="4"/>
        <v/>
      </c>
      <c r="T35" s="22" t="str">
        <f t="shared" si="5"/>
        <v/>
      </c>
      <c r="U35" s="22" t="str">
        <f t="shared" si="6"/>
        <v/>
      </c>
      <c r="V35" s="22" t="str">
        <f>IF($B35="","",Equations!$C$6+Equations!$C$7*S35+Equations!$C$8*T35+Equations!$C$9*U35+Equations!$C$10*S35^2+Equations!$C$11*S35*T35+Equations!$C$12*S35*U35+Equations!$C$13*T35^2+Equations!$C$14*T35*U35+Equations!$C$15*U35^2)</f>
        <v/>
      </c>
      <c r="W35" s="22" t="str">
        <f>IF($B35="","",Equations!$D$6+Equations!$D$7*S35+Equations!$D$8*T35+Equations!$D$10*S35^2+Equations!$D$11*S35*T35+Equations!$D$13*T35^2)</f>
        <v/>
      </c>
      <c r="X35" s="22" t="str">
        <f>IF($B35="","",Equations!$E$6+Equations!$E$8*T35+Equations!$E$10*S35^2+Equations!$E$11*S35*T35+Equations!$E$13*T35^2+Equations!$E$15*U35^2)</f>
        <v/>
      </c>
      <c r="Y35" s="22" t="str">
        <f>IF($B35="","",Equations!$F$6+Equations!$F$10*S35^2+Equations!$F$11*S35*T35)</f>
        <v/>
      </c>
      <c r="Z35" s="56" t="str">
        <f t="shared" si="7"/>
        <v/>
      </c>
      <c r="AA35" s="56" t="str">
        <f t="shared" si="8"/>
        <v/>
      </c>
      <c r="AB35" s="56" t="str">
        <f t="shared" si="9"/>
        <v/>
      </c>
      <c r="AC35" s="56" t="str">
        <f t="shared" si="10"/>
        <v/>
      </c>
    </row>
    <row r="36" spans="1:29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22" t="str">
        <f t="shared" si="0"/>
        <v/>
      </c>
      <c r="P36" s="22" t="str">
        <f t="shared" si="1"/>
        <v/>
      </c>
      <c r="Q36" s="22" t="str">
        <f t="shared" si="2"/>
        <v/>
      </c>
      <c r="R36" s="22" t="str">
        <f t="shared" si="3"/>
        <v/>
      </c>
      <c r="S36" s="22" t="str">
        <f t="shared" si="4"/>
        <v/>
      </c>
      <c r="T36" s="22" t="str">
        <f t="shared" si="5"/>
        <v/>
      </c>
      <c r="U36" s="22" t="str">
        <f t="shared" si="6"/>
        <v/>
      </c>
      <c r="V36" s="22" t="str">
        <f>IF($B36="","",Equations!$C$6+Equations!$C$7*S36+Equations!$C$8*T36+Equations!$C$9*U36+Equations!$C$10*S36^2+Equations!$C$11*S36*T36+Equations!$C$12*S36*U36+Equations!$C$13*T36^2+Equations!$C$14*T36*U36+Equations!$C$15*U36^2)</f>
        <v/>
      </c>
      <c r="W36" s="22" t="str">
        <f>IF($B36="","",Equations!$D$6+Equations!$D$7*S36+Equations!$D$8*T36+Equations!$D$10*S36^2+Equations!$D$11*S36*T36+Equations!$D$13*T36^2)</f>
        <v/>
      </c>
      <c r="X36" s="22" t="str">
        <f>IF($B36="","",Equations!$E$6+Equations!$E$8*T36+Equations!$E$10*S36^2+Equations!$E$11*S36*T36+Equations!$E$13*T36^2+Equations!$E$15*U36^2)</f>
        <v/>
      </c>
      <c r="Y36" s="22" t="str">
        <f>IF($B36="","",Equations!$F$6+Equations!$F$10*S36^2+Equations!$F$11*S36*T36)</f>
        <v/>
      </c>
      <c r="Z36" s="56" t="str">
        <f t="shared" si="7"/>
        <v/>
      </c>
      <c r="AA36" s="56" t="str">
        <f t="shared" si="8"/>
        <v/>
      </c>
      <c r="AB36" s="56" t="str">
        <f t="shared" si="9"/>
        <v/>
      </c>
      <c r="AC36" s="56" t="str">
        <f t="shared" si="10"/>
        <v/>
      </c>
    </row>
    <row r="37" spans="1:29" x14ac:dyDescent="0.25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22" t="str">
        <f t="shared" si="0"/>
        <v/>
      </c>
      <c r="P37" s="22" t="str">
        <f t="shared" si="1"/>
        <v/>
      </c>
      <c r="Q37" s="22" t="str">
        <f t="shared" si="2"/>
        <v/>
      </c>
      <c r="R37" s="22" t="str">
        <f t="shared" si="3"/>
        <v/>
      </c>
      <c r="S37" s="22" t="str">
        <f t="shared" si="4"/>
        <v/>
      </c>
      <c r="T37" s="22" t="str">
        <f t="shared" si="5"/>
        <v/>
      </c>
      <c r="U37" s="22" t="str">
        <f t="shared" si="6"/>
        <v/>
      </c>
      <c r="V37" s="22" t="str">
        <f>IF($B37="","",Equations!$C$6+Equations!$C$7*S37+Equations!$C$8*T37+Equations!$C$9*U37+Equations!$C$10*S37^2+Equations!$C$11*S37*T37+Equations!$C$12*S37*U37+Equations!$C$13*T37^2+Equations!$C$14*T37*U37+Equations!$C$15*U37^2)</f>
        <v/>
      </c>
      <c r="W37" s="22" t="str">
        <f>IF($B37="","",Equations!$D$6+Equations!$D$7*S37+Equations!$D$8*T37+Equations!$D$10*S37^2+Equations!$D$11*S37*T37+Equations!$D$13*T37^2)</f>
        <v/>
      </c>
      <c r="X37" s="22" t="str">
        <f>IF($B37="","",Equations!$E$6+Equations!$E$8*T37+Equations!$E$10*S37^2+Equations!$E$11*S37*T37+Equations!$E$13*T37^2+Equations!$E$15*U37^2)</f>
        <v/>
      </c>
      <c r="Y37" s="22" t="str">
        <f>IF($B37="","",Equations!$F$6+Equations!$F$10*S37^2+Equations!$F$11*S37*T37)</f>
        <v/>
      </c>
      <c r="Z37" s="56" t="str">
        <f t="shared" si="7"/>
        <v/>
      </c>
      <c r="AA37" s="56" t="str">
        <f t="shared" si="8"/>
        <v/>
      </c>
      <c r="AB37" s="56" t="str">
        <f t="shared" si="9"/>
        <v/>
      </c>
      <c r="AC37" s="56" t="str">
        <f t="shared" si="10"/>
        <v/>
      </c>
    </row>
    <row r="38" spans="1:29" x14ac:dyDescent="0.25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22" t="str">
        <f t="shared" si="0"/>
        <v/>
      </c>
      <c r="P38" s="22" t="str">
        <f t="shared" si="1"/>
        <v/>
      </c>
      <c r="Q38" s="22" t="str">
        <f t="shared" si="2"/>
        <v/>
      </c>
      <c r="R38" s="22" t="str">
        <f t="shared" si="3"/>
        <v/>
      </c>
      <c r="S38" s="22" t="str">
        <f t="shared" si="4"/>
        <v/>
      </c>
      <c r="T38" s="22" t="str">
        <f t="shared" si="5"/>
        <v/>
      </c>
      <c r="U38" s="22" t="str">
        <f t="shared" si="6"/>
        <v/>
      </c>
      <c r="V38" s="22" t="str">
        <f>IF($B38="","",Equations!$C$6+Equations!$C$7*S38+Equations!$C$8*T38+Equations!$C$9*U38+Equations!$C$10*S38^2+Equations!$C$11*S38*T38+Equations!$C$12*S38*U38+Equations!$C$13*T38^2+Equations!$C$14*T38*U38+Equations!$C$15*U38^2)</f>
        <v/>
      </c>
      <c r="W38" s="22" t="str">
        <f>IF($B38="","",Equations!$D$6+Equations!$D$7*S38+Equations!$D$8*T38+Equations!$D$10*S38^2+Equations!$D$11*S38*T38+Equations!$D$13*T38^2)</f>
        <v/>
      </c>
      <c r="X38" s="22" t="str">
        <f>IF($B38="","",Equations!$E$6+Equations!$E$8*T38+Equations!$E$10*S38^2+Equations!$E$11*S38*T38+Equations!$E$13*T38^2+Equations!$E$15*U38^2)</f>
        <v/>
      </c>
      <c r="Y38" s="22" t="str">
        <f>IF($B38="","",Equations!$F$6+Equations!$F$10*S38^2+Equations!$F$11*S38*T38)</f>
        <v/>
      </c>
      <c r="Z38" s="56" t="str">
        <f t="shared" si="7"/>
        <v/>
      </c>
      <c r="AA38" s="56" t="str">
        <f t="shared" si="8"/>
        <v/>
      </c>
      <c r="AB38" s="56" t="str">
        <f t="shared" si="9"/>
        <v/>
      </c>
      <c r="AC38" s="56" t="str">
        <f t="shared" si="10"/>
        <v/>
      </c>
    </row>
    <row r="39" spans="1:29" x14ac:dyDescent="0.25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22" t="str">
        <f t="shared" si="0"/>
        <v/>
      </c>
      <c r="P39" s="22" t="str">
        <f t="shared" si="1"/>
        <v/>
      </c>
      <c r="Q39" s="22" t="str">
        <f t="shared" si="2"/>
        <v/>
      </c>
      <c r="R39" s="22" t="str">
        <f t="shared" si="3"/>
        <v/>
      </c>
      <c r="S39" s="22" t="str">
        <f t="shared" si="4"/>
        <v/>
      </c>
      <c r="T39" s="22" t="str">
        <f t="shared" si="5"/>
        <v/>
      </c>
      <c r="U39" s="22" t="str">
        <f t="shared" si="6"/>
        <v/>
      </c>
      <c r="V39" s="22" t="str">
        <f>IF($B39="","",Equations!$C$6+Equations!$C$7*S39+Equations!$C$8*T39+Equations!$C$9*U39+Equations!$C$10*S39^2+Equations!$C$11*S39*T39+Equations!$C$12*S39*U39+Equations!$C$13*T39^2+Equations!$C$14*T39*U39+Equations!$C$15*U39^2)</f>
        <v/>
      </c>
      <c r="W39" s="22" t="str">
        <f>IF($B39="","",Equations!$D$6+Equations!$D$7*S39+Equations!$D$8*T39+Equations!$D$10*S39^2+Equations!$D$11*S39*T39+Equations!$D$13*T39^2)</f>
        <v/>
      </c>
      <c r="X39" s="22" t="str">
        <f>IF($B39="","",Equations!$E$6+Equations!$E$8*T39+Equations!$E$10*S39^2+Equations!$E$11*S39*T39+Equations!$E$13*T39^2+Equations!$E$15*U39^2)</f>
        <v/>
      </c>
      <c r="Y39" s="22" t="str">
        <f>IF($B39="","",Equations!$F$6+Equations!$F$10*S39^2+Equations!$F$11*S39*T39)</f>
        <v/>
      </c>
      <c r="Z39" s="56" t="str">
        <f t="shared" si="7"/>
        <v/>
      </c>
      <c r="AA39" s="56" t="str">
        <f t="shared" si="8"/>
        <v/>
      </c>
      <c r="AB39" s="56" t="str">
        <f t="shared" si="9"/>
        <v/>
      </c>
      <c r="AC39" s="56" t="str">
        <f t="shared" si="10"/>
        <v/>
      </c>
    </row>
    <row r="40" spans="1:29" x14ac:dyDescent="0.25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22" t="str">
        <f t="shared" si="0"/>
        <v/>
      </c>
      <c r="P40" s="22" t="str">
        <f t="shared" si="1"/>
        <v/>
      </c>
      <c r="Q40" s="22" t="str">
        <f t="shared" si="2"/>
        <v/>
      </c>
      <c r="R40" s="22" t="str">
        <f t="shared" si="3"/>
        <v/>
      </c>
      <c r="S40" s="22" t="str">
        <f t="shared" si="4"/>
        <v/>
      </c>
      <c r="T40" s="22" t="str">
        <f t="shared" si="5"/>
        <v/>
      </c>
      <c r="U40" s="22" t="str">
        <f t="shared" si="6"/>
        <v/>
      </c>
      <c r="V40" s="22" t="str">
        <f>IF($B40="","",Equations!$C$6+Equations!$C$7*S40+Equations!$C$8*T40+Equations!$C$9*U40+Equations!$C$10*S40^2+Equations!$C$11*S40*T40+Equations!$C$12*S40*U40+Equations!$C$13*T40^2+Equations!$C$14*T40*U40+Equations!$C$15*U40^2)</f>
        <v/>
      </c>
      <c r="W40" s="22" t="str">
        <f>IF($B40="","",Equations!$D$6+Equations!$D$7*S40+Equations!$D$8*T40+Equations!$D$10*S40^2+Equations!$D$11*S40*T40+Equations!$D$13*T40^2)</f>
        <v/>
      </c>
      <c r="X40" s="22" t="str">
        <f>IF($B40="","",Equations!$E$6+Equations!$E$8*T40+Equations!$E$10*S40^2+Equations!$E$11*S40*T40+Equations!$E$13*T40^2+Equations!$E$15*U40^2)</f>
        <v/>
      </c>
      <c r="Y40" s="22" t="str">
        <f>IF($B40="","",Equations!$F$6+Equations!$F$10*S40^2+Equations!$F$11*S40*T40)</f>
        <v/>
      </c>
      <c r="Z40" s="56" t="str">
        <f t="shared" si="7"/>
        <v/>
      </c>
      <c r="AA40" s="56" t="str">
        <f t="shared" si="8"/>
        <v/>
      </c>
      <c r="AB40" s="56" t="str">
        <f t="shared" si="9"/>
        <v/>
      </c>
      <c r="AC40" s="56" t="str">
        <f t="shared" si="10"/>
        <v/>
      </c>
    </row>
    <row r="41" spans="1:29" x14ac:dyDescent="0.25">
      <c r="A41" s="54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22" t="str">
        <f t="shared" si="0"/>
        <v/>
      </c>
      <c r="P41" s="22" t="str">
        <f t="shared" si="1"/>
        <v/>
      </c>
      <c r="Q41" s="22" t="str">
        <f t="shared" si="2"/>
        <v/>
      </c>
      <c r="R41" s="22" t="str">
        <f t="shared" si="3"/>
        <v/>
      </c>
      <c r="S41" s="22" t="str">
        <f t="shared" si="4"/>
        <v/>
      </c>
      <c r="T41" s="22" t="str">
        <f t="shared" si="5"/>
        <v/>
      </c>
      <c r="U41" s="22" t="str">
        <f t="shared" si="6"/>
        <v/>
      </c>
      <c r="V41" s="22" t="str">
        <f>IF($B41="","",Equations!$C$6+Equations!$C$7*S41+Equations!$C$8*T41+Equations!$C$9*U41+Equations!$C$10*S41^2+Equations!$C$11*S41*T41+Equations!$C$12*S41*U41+Equations!$C$13*T41^2+Equations!$C$14*T41*U41+Equations!$C$15*U41^2)</f>
        <v/>
      </c>
      <c r="W41" s="22" t="str">
        <f>IF($B41="","",Equations!$D$6+Equations!$D$7*S41+Equations!$D$8*T41+Equations!$D$10*S41^2+Equations!$D$11*S41*T41+Equations!$D$13*T41^2)</f>
        <v/>
      </c>
      <c r="X41" s="22" t="str">
        <f>IF($B41="","",Equations!$E$6+Equations!$E$8*T41+Equations!$E$10*S41^2+Equations!$E$11*S41*T41+Equations!$E$13*T41^2+Equations!$E$15*U41^2)</f>
        <v/>
      </c>
      <c r="Y41" s="22" t="str">
        <f>IF($B41="","",Equations!$F$6+Equations!$F$10*S41^2+Equations!$F$11*S41*T41)</f>
        <v/>
      </c>
      <c r="Z41" s="56" t="str">
        <f t="shared" si="7"/>
        <v/>
      </c>
      <c r="AA41" s="56" t="str">
        <f t="shared" si="8"/>
        <v/>
      </c>
      <c r="AB41" s="56" t="str">
        <f t="shared" si="9"/>
        <v/>
      </c>
      <c r="AC41" s="56" t="str">
        <f t="shared" si="10"/>
        <v/>
      </c>
    </row>
    <row r="42" spans="1:29" x14ac:dyDescent="0.25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22" t="str">
        <f t="shared" si="0"/>
        <v/>
      </c>
      <c r="P42" s="22" t="str">
        <f t="shared" si="1"/>
        <v/>
      </c>
      <c r="Q42" s="22" t="str">
        <f t="shared" si="2"/>
        <v/>
      </c>
      <c r="R42" s="22" t="str">
        <f t="shared" si="3"/>
        <v/>
      </c>
      <c r="S42" s="22" t="str">
        <f t="shared" si="4"/>
        <v/>
      </c>
      <c r="T42" s="22" t="str">
        <f t="shared" si="5"/>
        <v/>
      </c>
      <c r="U42" s="22" t="str">
        <f t="shared" si="6"/>
        <v/>
      </c>
      <c r="V42" s="22" t="str">
        <f>IF($B42="","",Equations!$C$6+Equations!$C$7*S42+Equations!$C$8*T42+Equations!$C$9*U42+Equations!$C$10*S42^2+Equations!$C$11*S42*T42+Equations!$C$12*S42*U42+Equations!$C$13*T42^2+Equations!$C$14*T42*U42+Equations!$C$15*U42^2)</f>
        <v/>
      </c>
      <c r="W42" s="22" t="str">
        <f>IF($B42="","",Equations!$D$6+Equations!$D$7*S42+Equations!$D$8*T42+Equations!$D$10*S42^2+Equations!$D$11*S42*T42+Equations!$D$13*T42^2)</f>
        <v/>
      </c>
      <c r="X42" s="22" t="str">
        <f>IF($B42="","",Equations!$E$6+Equations!$E$8*T42+Equations!$E$10*S42^2+Equations!$E$11*S42*T42+Equations!$E$13*T42^2+Equations!$E$15*U42^2)</f>
        <v/>
      </c>
      <c r="Y42" s="22" t="str">
        <f>IF($B42="","",Equations!$F$6+Equations!$F$10*S42^2+Equations!$F$11*S42*T42)</f>
        <v/>
      </c>
      <c r="Z42" s="56" t="str">
        <f t="shared" si="7"/>
        <v/>
      </c>
      <c r="AA42" s="56" t="str">
        <f t="shared" si="8"/>
        <v/>
      </c>
      <c r="AB42" s="56" t="str">
        <f t="shared" si="9"/>
        <v/>
      </c>
      <c r="AC42" s="56" t="str">
        <f t="shared" si="10"/>
        <v/>
      </c>
    </row>
    <row r="43" spans="1:29" x14ac:dyDescent="0.25">
      <c r="A43" s="54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22" t="str">
        <f t="shared" si="0"/>
        <v/>
      </c>
      <c r="P43" s="22" t="str">
        <f t="shared" si="1"/>
        <v/>
      </c>
      <c r="Q43" s="22" t="str">
        <f t="shared" si="2"/>
        <v/>
      </c>
      <c r="R43" s="22" t="str">
        <f t="shared" si="3"/>
        <v/>
      </c>
      <c r="S43" s="22" t="str">
        <f t="shared" si="4"/>
        <v/>
      </c>
      <c r="T43" s="22" t="str">
        <f t="shared" si="5"/>
        <v/>
      </c>
      <c r="U43" s="22" t="str">
        <f t="shared" si="6"/>
        <v/>
      </c>
      <c r="V43" s="22" t="str">
        <f>IF($B43="","",Equations!$C$6+Equations!$C$7*S43+Equations!$C$8*T43+Equations!$C$9*U43+Equations!$C$10*S43^2+Equations!$C$11*S43*T43+Equations!$C$12*S43*U43+Equations!$C$13*T43^2+Equations!$C$14*T43*U43+Equations!$C$15*U43^2)</f>
        <v/>
      </c>
      <c r="W43" s="22" t="str">
        <f>IF($B43="","",Equations!$D$6+Equations!$D$7*S43+Equations!$D$8*T43+Equations!$D$10*S43^2+Equations!$D$11*S43*T43+Equations!$D$13*T43^2)</f>
        <v/>
      </c>
      <c r="X43" s="22" t="str">
        <f>IF($B43="","",Equations!$E$6+Equations!$E$8*T43+Equations!$E$10*S43^2+Equations!$E$11*S43*T43+Equations!$E$13*T43^2+Equations!$E$15*U43^2)</f>
        <v/>
      </c>
      <c r="Y43" s="22" t="str">
        <f>IF($B43="","",Equations!$F$6+Equations!$F$10*S43^2+Equations!$F$11*S43*T43)</f>
        <v/>
      </c>
      <c r="Z43" s="56" t="str">
        <f t="shared" si="7"/>
        <v/>
      </c>
      <c r="AA43" s="56" t="str">
        <f t="shared" si="8"/>
        <v/>
      </c>
      <c r="AB43" s="56" t="str">
        <f t="shared" si="9"/>
        <v/>
      </c>
      <c r="AC43" s="56" t="str">
        <f t="shared" si="10"/>
        <v/>
      </c>
    </row>
    <row r="44" spans="1:29" x14ac:dyDescent="0.25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22" t="str">
        <f t="shared" si="0"/>
        <v/>
      </c>
      <c r="P44" s="22" t="str">
        <f t="shared" si="1"/>
        <v/>
      </c>
      <c r="Q44" s="22" t="str">
        <f t="shared" si="2"/>
        <v/>
      </c>
      <c r="R44" s="22" t="str">
        <f t="shared" si="3"/>
        <v/>
      </c>
      <c r="S44" s="22" t="str">
        <f t="shared" si="4"/>
        <v/>
      </c>
      <c r="T44" s="22" t="str">
        <f t="shared" si="5"/>
        <v/>
      </c>
      <c r="U44" s="22" t="str">
        <f t="shared" si="6"/>
        <v/>
      </c>
      <c r="V44" s="22" t="str">
        <f>IF($B44="","",Equations!$C$6+Equations!$C$7*S44+Equations!$C$8*T44+Equations!$C$9*U44+Equations!$C$10*S44^2+Equations!$C$11*S44*T44+Equations!$C$12*S44*U44+Equations!$C$13*T44^2+Equations!$C$14*T44*U44+Equations!$C$15*U44^2)</f>
        <v/>
      </c>
      <c r="W44" s="22" t="str">
        <f>IF($B44="","",Equations!$D$6+Equations!$D$7*S44+Equations!$D$8*T44+Equations!$D$10*S44^2+Equations!$D$11*S44*T44+Equations!$D$13*T44^2)</f>
        <v/>
      </c>
      <c r="X44" s="22" t="str">
        <f>IF($B44="","",Equations!$E$6+Equations!$E$8*T44+Equations!$E$10*S44^2+Equations!$E$11*S44*T44+Equations!$E$13*T44^2+Equations!$E$15*U44^2)</f>
        <v/>
      </c>
      <c r="Y44" s="22" t="str">
        <f>IF($B44="","",Equations!$F$6+Equations!$F$10*S44^2+Equations!$F$11*S44*T44)</f>
        <v/>
      </c>
      <c r="Z44" s="56" t="str">
        <f t="shared" si="7"/>
        <v/>
      </c>
      <c r="AA44" s="56" t="str">
        <f t="shared" si="8"/>
        <v/>
      </c>
      <c r="AB44" s="56" t="str">
        <f t="shared" si="9"/>
        <v/>
      </c>
      <c r="AC44" s="56" t="str">
        <f t="shared" si="10"/>
        <v/>
      </c>
    </row>
  </sheetData>
  <mergeCells count="2">
    <mergeCell ref="A1:AC1"/>
    <mergeCell ref="A2:AC2"/>
  </mergeCells>
  <conditionalFormatting sqref="Z5:AB44">
    <cfRule type="expression" dxfId="4" priority="6">
      <formula>OR(Z5="Extrapolation",LEFT(Z5,4)="Fail")</formula>
    </cfRule>
  </conditionalFormatting>
  <conditionalFormatting sqref="AC5:AC44">
    <cfRule type="expression" dxfId="3" priority="2">
      <formula>$AC5="Low"</formula>
    </cfRule>
    <cfRule type="expression" dxfId="2" priority="3">
      <formula>$AC5="Moderate"</formula>
    </cfRule>
    <cfRule type="expression" dxfId="1" priority="4">
      <formula>$AC5="High"</formula>
    </cfRule>
    <cfRule type="expression" dxfId="0" priority="5">
      <formula>$AC5="Cannot classify"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Q1"/>
    </sheetView>
  </sheetViews>
  <sheetFormatPr defaultColWidth="8.7109375" defaultRowHeight="15" x14ac:dyDescent="0.25"/>
  <cols>
    <col min="1" max="1" width="5" customWidth="1"/>
    <col min="2" max="2" width="17" customWidth="1"/>
    <col min="3" max="3" width="22" customWidth="1"/>
    <col min="4" max="4" width="5" customWidth="1"/>
    <col min="5" max="9" width="7" customWidth="1"/>
    <col min="10" max="11" width="10" customWidth="1"/>
    <col min="12" max="12" width="11" customWidth="1"/>
    <col min="13" max="13" width="9" customWidth="1"/>
    <col min="14" max="15" width="10" customWidth="1"/>
    <col min="16" max="16" width="11" customWidth="1"/>
    <col min="17" max="17" width="9" customWidth="1"/>
    <col min="18" max="18" width="48" customWidth="1"/>
  </cols>
  <sheetData>
    <row r="1" spans="1:18" x14ac:dyDescent="0.25">
      <c r="A1" s="74" t="s">
        <v>206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8" ht="25.5" customHeight="1" x14ac:dyDescent="0.25">
      <c r="A2" s="8" t="s">
        <v>207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spans="1:18" ht="27.75" customHeight="1" x14ac:dyDescent="0.25">
      <c r="A4" s="18" t="s">
        <v>208</v>
      </c>
      <c r="B4" s="18" t="s">
        <v>209</v>
      </c>
      <c r="C4" s="18" t="s">
        <v>210</v>
      </c>
      <c r="D4" s="18" t="s">
        <v>23</v>
      </c>
      <c r="E4" s="18" t="s">
        <v>182</v>
      </c>
      <c r="F4" s="18" t="s">
        <v>192</v>
      </c>
      <c r="G4" s="18" t="s">
        <v>140</v>
      </c>
      <c r="H4" s="18" t="s">
        <v>142</v>
      </c>
      <c r="I4" s="18" t="s">
        <v>141</v>
      </c>
      <c r="J4" s="18" t="s">
        <v>211</v>
      </c>
      <c r="K4" s="18" t="s">
        <v>212</v>
      </c>
      <c r="L4" s="18" t="s">
        <v>213</v>
      </c>
      <c r="M4" s="18" t="s">
        <v>214</v>
      </c>
      <c r="N4" s="18" t="s">
        <v>215</v>
      </c>
      <c r="O4" s="18" t="s">
        <v>216</v>
      </c>
      <c r="P4" s="18" t="s">
        <v>217</v>
      </c>
      <c r="Q4" s="18" t="s">
        <v>214</v>
      </c>
      <c r="R4" s="18" t="s">
        <v>218</v>
      </c>
    </row>
    <row r="5" spans="1:18" x14ac:dyDescent="0.25">
      <c r="A5" s="57">
        <v>1</v>
      </c>
      <c r="B5" s="57" t="s">
        <v>219</v>
      </c>
      <c r="C5" s="57" t="s">
        <v>220</v>
      </c>
      <c r="D5" s="57">
        <v>2</v>
      </c>
      <c r="E5" s="57">
        <v>6</v>
      </c>
      <c r="F5" s="57">
        <v>4.9000000000000004</v>
      </c>
      <c r="G5" s="58">
        <v>0.36799999999999999</v>
      </c>
      <c r="H5" s="58">
        <v>1.2250000000000001</v>
      </c>
      <c r="I5" s="58">
        <v>1</v>
      </c>
      <c r="J5" s="58">
        <v>0.192</v>
      </c>
      <c r="K5" s="58">
        <v>0.25900000000000001</v>
      </c>
      <c r="L5" s="59">
        <f>MAX(0.01,Equations!$C$6+Equations!$C$7*G5+Equations!$C$8*I5+Equations!$C$9*H5+Equations!$C$10*G5^2+Equations!$C$11*G5*I5+Equations!$C$12*G5*H5+Equations!$C$13*I5^2+Equations!$C$14*I5*H5+Equations!$C$15*H5^2)</f>
        <v>0.25926078390000001</v>
      </c>
      <c r="M5" s="60">
        <f t="shared" ref="M5:M36" si="0">L5-K5</f>
        <v>2.6078390000000562E-4</v>
      </c>
      <c r="N5" s="58">
        <v>0.501</v>
      </c>
      <c r="O5" s="58">
        <v>0.67400000000000004</v>
      </c>
      <c r="P5" s="59">
        <f>MAX(0.01,Equations!$D$6+Equations!$D$7*G5+Equations!$D$8*I5+Equations!$D$10*G5^2+Equations!$D$11*G5*I5+Equations!$D$13*I5^2)</f>
        <v>0.67337539200000007</v>
      </c>
      <c r="Q5" s="60">
        <f t="shared" ref="Q5:Q36" si="1">P5-O5</f>
        <v>-6.2460799999997096E-4</v>
      </c>
    </row>
    <row r="6" spans="1:18" x14ac:dyDescent="0.25">
      <c r="A6" s="57">
        <v>2</v>
      </c>
      <c r="B6" s="57" t="s">
        <v>219</v>
      </c>
      <c r="C6" s="57" t="s">
        <v>220</v>
      </c>
      <c r="D6" s="57">
        <v>4</v>
      </c>
      <c r="E6" s="57">
        <v>12</v>
      </c>
      <c r="F6" s="57">
        <v>4.9000000000000004</v>
      </c>
      <c r="G6" s="58">
        <v>0.437</v>
      </c>
      <c r="H6" s="58">
        <v>1.732</v>
      </c>
      <c r="I6" s="58">
        <v>1</v>
      </c>
      <c r="J6" s="58">
        <v>0.113</v>
      </c>
      <c r="K6" s="58">
        <v>0.19400000000000001</v>
      </c>
      <c r="L6" s="59">
        <f>MAX(0.01,Equations!$C$6+Equations!$C$7*G6+Equations!$C$8*I6+Equations!$C$9*H6+Equations!$C$10*G6^2+Equations!$C$11*G6*I6+Equations!$C$12*G6*H6+Equations!$C$13*I6^2+Equations!$C$14*I6*H6+Equations!$C$15*H6^2)</f>
        <v>0.19426399019999996</v>
      </c>
      <c r="M6" s="60">
        <f t="shared" si="0"/>
        <v>2.6399019999995277E-4</v>
      </c>
      <c r="N6" s="58">
        <v>0.223</v>
      </c>
      <c r="O6" s="58">
        <v>0.58499999999999996</v>
      </c>
      <c r="P6" s="59">
        <f>MAX(0.01,Equations!$D$6+Equations!$D$7*G6+Equations!$D$8*I6+Equations!$D$10*G6^2+Equations!$D$11*G6*I6+Equations!$D$13*I6^2)</f>
        <v>0.58501933949999996</v>
      </c>
      <c r="Q6" s="60">
        <f t="shared" si="1"/>
        <v>1.933949999999296E-5</v>
      </c>
    </row>
    <row r="7" spans="1:18" ht="22.5" x14ac:dyDescent="0.25">
      <c r="A7" s="57">
        <v>3</v>
      </c>
      <c r="B7" s="57" t="s">
        <v>219</v>
      </c>
      <c r="C7" s="57" t="s">
        <v>220</v>
      </c>
      <c r="D7" s="57">
        <v>6</v>
      </c>
      <c r="E7" s="57">
        <v>18</v>
      </c>
      <c r="F7" s="57">
        <v>8.5</v>
      </c>
      <c r="G7" s="58">
        <v>0.48399999999999999</v>
      </c>
      <c r="H7" s="58">
        <v>1.2210000000000001</v>
      </c>
      <c r="I7" s="58">
        <v>1</v>
      </c>
      <c r="J7" s="58">
        <v>7.2999999999999995E-2</v>
      </c>
      <c r="K7" s="58">
        <v>0.152</v>
      </c>
      <c r="L7" s="59">
        <f>MAX(0.01,Equations!$C$6+Equations!$C$7*G7+Equations!$C$8*I7+Equations!$C$9*H7+Equations!$C$10*G7^2+Equations!$C$11*G7*I7+Equations!$C$12*G7*H7+Equations!$C$13*I7^2+Equations!$C$14*I7*H7+Equations!$C$15*H7^2)</f>
        <v>0.20115501830000007</v>
      </c>
      <c r="M7" s="60">
        <f t="shared" si="0"/>
        <v>4.9155018300000075E-2</v>
      </c>
      <c r="N7" s="58">
        <v>0.16</v>
      </c>
      <c r="O7" s="58">
        <v>0.53</v>
      </c>
      <c r="P7" s="59">
        <f>MAX(0.01,Equations!$D$6+Equations!$D$7*G7+Equations!$D$8*I7+Equations!$D$10*G7^2+Equations!$D$11*G7*I7+Equations!$D$13*I7^2)</f>
        <v>0.5302622480000001</v>
      </c>
      <c r="Q7" s="60">
        <f t="shared" si="1"/>
        <v>2.6224800000007598E-4</v>
      </c>
      <c r="R7" s="61" t="s">
        <v>221</v>
      </c>
    </row>
    <row r="8" spans="1:18" x14ac:dyDescent="0.25">
      <c r="A8" s="57">
        <v>4</v>
      </c>
      <c r="B8" s="57" t="s">
        <v>219</v>
      </c>
      <c r="C8" s="57" t="s">
        <v>220</v>
      </c>
      <c r="D8" s="57">
        <v>2</v>
      </c>
      <c r="E8" s="57">
        <v>6</v>
      </c>
      <c r="F8" s="57">
        <v>4.9000000000000004</v>
      </c>
      <c r="G8" s="58">
        <v>0.36799999999999999</v>
      </c>
      <c r="H8" s="58">
        <v>1.2250000000000001</v>
      </c>
      <c r="I8" s="58">
        <v>2</v>
      </c>
      <c r="J8" s="58">
        <v>0.316</v>
      </c>
      <c r="K8" s="58">
        <v>0.34699999999999998</v>
      </c>
      <c r="L8" s="59">
        <f>MAX(0.01,Equations!$C$6+Equations!$C$7*G8+Equations!$C$8*I8+Equations!$C$9*H8+Equations!$C$10*G8^2+Equations!$C$11*G8*I8+Equations!$C$12*G8*H8+Equations!$C$13*I8^2+Equations!$C$14*I8*H8+Equations!$C$15*H8^2)</f>
        <v>0.34689218390000004</v>
      </c>
      <c r="M8" s="60">
        <f t="shared" si="0"/>
        <v>-1.0781609999993558E-4</v>
      </c>
      <c r="N8" s="58">
        <v>0.56499999999999995</v>
      </c>
      <c r="O8" s="58">
        <v>0.79900000000000004</v>
      </c>
      <c r="P8" s="59">
        <f>MAX(0.01,Equations!$D$6+Equations!$D$7*G8+Equations!$D$8*I8+Equations!$D$10*G8^2+Equations!$D$11*G8*I8+Equations!$D$13*I8^2)</f>
        <v>0.798079392</v>
      </c>
      <c r="Q8" s="60">
        <f t="shared" si="1"/>
        <v>-9.2060800000004495E-4</v>
      </c>
    </row>
    <row r="9" spans="1:18" x14ac:dyDescent="0.25">
      <c r="A9" s="57">
        <v>5</v>
      </c>
      <c r="B9" s="57" t="s">
        <v>219</v>
      </c>
      <c r="C9" s="57" t="s">
        <v>220</v>
      </c>
      <c r="D9" s="57">
        <v>4</v>
      </c>
      <c r="E9" s="57">
        <v>12</v>
      </c>
      <c r="F9" s="57">
        <v>4.9000000000000004</v>
      </c>
      <c r="G9" s="58">
        <v>0.437</v>
      </c>
      <c r="H9" s="58">
        <v>1.2989999999999999</v>
      </c>
      <c r="I9" s="58">
        <v>2</v>
      </c>
      <c r="J9" s="58">
        <v>0.20699999999999999</v>
      </c>
      <c r="K9" s="58">
        <v>0.29799999999999999</v>
      </c>
      <c r="L9" s="59">
        <f>MAX(0.01,Equations!$C$6+Equations!$C$7*G9+Equations!$C$8*I9+Equations!$C$9*H9+Equations!$C$10*G9^2+Equations!$C$11*G9*I9+Equations!$C$12*G9*H9+Equations!$C$13*I9^2+Equations!$C$14*I9*H9+Equations!$C$15*H9^2)</f>
        <v>0.29809725609999999</v>
      </c>
      <c r="M9" s="60">
        <f t="shared" si="0"/>
        <v>9.7256099999998291E-5</v>
      </c>
      <c r="N9" s="58">
        <v>0.42399999999999999</v>
      </c>
      <c r="O9" s="58">
        <v>0.70399999999999996</v>
      </c>
      <c r="P9" s="59">
        <f>MAX(0.01,Equations!$D$6+Equations!$D$7*G9+Equations!$D$8*I9+Equations!$D$10*G9^2+Equations!$D$11*G9*I9+Equations!$D$13*I9^2)</f>
        <v>0.70389283949999992</v>
      </c>
      <c r="Q9" s="60">
        <f t="shared" si="1"/>
        <v>-1.0716050000003641E-4</v>
      </c>
    </row>
    <row r="10" spans="1:18" x14ac:dyDescent="0.25">
      <c r="A10" s="57">
        <v>6</v>
      </c>
      <c r="B10" s="57" t="s">
        <v>219</v>
      </c>
      <c r="C10" s="57" t="s">
        <v>220</v>
      </c>
      <c r="D10" s="57">
        <v>6</v>
      </c>
      <c r="E10" s="57">
        <v>18</v>
      </c>
      <c r="F10" s="57">
        <v>8.5</v>
      </c>
      <c r="G10" s="58">
        <v>0.48399999999999999</v>
      </c>
      <c r="H10" s="58">
        <v>1.7669999999999999</v>
      </c>
      <c r="I10" s="58">
        <v>2</v>
      </c>
      <c r="J10" s="58">
        <v>0.186</v>
      </c>
      <c r="K10" s="58">
        <v>0.23400000000000001</v>
      </c>
      <c r="L10" s="59">
        <f>MAX(0.01,Equations!$C$6+Equations!$C$7*G10+Equations!$C$8*I10+Equations!$C$9*H10+Equations!$C$10*G10^2+Equations!$C$11*G10*I10+Equations!$C$12*G10*H10+Equations!$C$13*I10^2+Equations!$C$14*I10*H10+Equations!$C$15*H10^2)</f>
        <v>0.23395828790000006</v>
      </c>
      <c r="M10" s="60">
        <f t="shared" si="0"/>
        <v>-4.1712099999952068E-5</v>
      </c>
      <c r="N10" s="58">
        <v>0.30599999999999999</v>
      </c>
      <c r="O10" s="58">
        <v>0.64500000000000002</v>
      </c>
      <c r="P10" s="59">
        <f>MAX(0.01,Equations!$D$6+Equations!$D$7*G10+Equations!$D$8*I10+Equations!$D$10*G10^2+Equations!$D$11*G10*I10+Equations!$D$13*I10^2)</f>
        <v>0.64516424800000005</v>
      </c>
      <c r="Q10" s="60">
        <f t="shared" si="1"/>
        <v>1.6424800000003348E-4</v>
      </c>
    </row>
    <row r="11" spans="1:18" x14ac:dyDescent="0.25">
      <c r="A11" s="57">
        <v>7</v>
      </c>
      <c r="B11" s="57" t="s">
        <v>219</v>
      </c>
      <c r="C11" s="57" t="s">
        <v>220</v>
      </c>
      <c r="D11" s="57">
        <v>2</v>
      </c>
      <c r="E11" s="57">
        <v>6</v>
      </c>
      <c r="F11" s="57">
        <v>4.9000000000000004</v>
      </c>
      <c r="G11" s="58">
        <v>0.36799999999999999</v>
      </c>
      <c r="H11" s="58">
        <v>1.2250000000000001</v>
      </c>
      <c r="I11" s="58">
        <v>3.5</v>
      </c>
      <c r="J11" s="58">
        <v>0.42199999999999999</v>
      </c>
      <c r="K11" s="58">
        <v>0.46800000000000003</v>
      </c>
      <c r="L11" s="59">
        <f>MAX(0.01,Equations!$C$6+Equations!$C$7*G11+Equations!$C$8*I11+Equations!$C$9*H11+Equations!$C$10*G11^2+Equations!$C$11*G11*I11+Equations!$C$12*G11*H11+Equations!$C$13*I11^2+Equations!$C$14*I11*H11+Equations!$C$15*H11^2)</f>
        <v>0.46708928390000004</v>
      </c>
      <c r="M11" s="60">
        <f t="shared" si="0"/>
        <v>-9.1071609999998637E-4</v>
      </c>
      <c r="N11" s="58">
        <v>1.163</v>
      </c>
      <c r="O11" s="58">
        <v>0.97499999999999998</v>
      </c>
      <c r="P11" s="59">
        <f>MAX(0.01,Equations!$D$6+Equations!$D$7*G11+Equations!$D$8*I11+Equations!$D$10*G11^2+Equations!$D$11*G11*I11+Equations!$D$13*I11^2)</f>
        <v>0.97388539200000002</v>
      </c>
      <c r="Q11" s="60">
        <f t="shared" si="1"/>
        <v>-1.1146079999999614E-3</v>
      </c>
    </row>
    <row r="12" spans="1:18" x14ac:dyDescent="0.25">
      <c r="A12" s="57">
        <v>8</v>
      </c>
      <c r="B12" s="57" t="s">
        <v>219</v>
      </c>
      <c r="C12" s="57" t="s">
        <v>220</v>
      </c>
      <c r="D12" s="57">
        <v>4</v>
      </c>
      <c r="E12" s="57">
        <v>12</v>
      </c>
      <c r="F12" s="57">
        <v>4.9000000000000004</v>
      </c>
      <c r="G12" s="58">
        <v>0.437</v>
      </c>
      <c r="H12" s="58">
        <v>1.2989999999999999</v>
      </c>
      <c r="I12" s="58">
        <v>3.5</v>
      </c>
      <c r="J12" s="58">
        <v>0.253</v>
      </c>
      <c r="K12" s="58">
        <v>0.40600000000000003</v>
      </c>
      <c r="L12" s="59">
        <f>MAX(0.01,Equations!$C$6+Equations!$C$7*G12+Equations!$C$8*I12+Equations!$C$9*H12+Equations!$C$10*G12^2+Equations!$C$11*G12*I12+Equations!$C$12*G12*H12+Equations!$C$13*I12^2+Equations!$C$14*I12*H12+Equations!$C$15*H12^2)</f>
        <v>0.40571055610000001</v>
      </c>
      <c r="M12" s="60">
        <f t="shared" si="0"/>
        <v>-2.8944390000001929E-4</v>
      </c>
      <c r="N12" s="58">
        <v>0.77400000000000002</v>
      </c>
      <c r="O12" s="58">
        <v>0.871</v>
      </c>
      <c r="P12" s="59">
        <f>MAX(0.01,Equations!$D$6+Equations!$D$7*G12+Equations!$D$8*I12+Equations!$D$10*G12^2+Equations!$D$11*G12*I12+Equations!$D$13*I12^2)</f>
        <v>0.87095308950000005</v>
      </c>
      <c r="Q12" s="60">
        <f t="shared" si="1"/>
        <v>-4.6910499999941457E-5</v>
      </c>
    </row>
    <row r="13" spans="1:18" x14ac:dyDescent="0.25">
      <c r="A13" s="57">
        <v>9</v>
      </c>
      <c r="B13" s="57" t="s">
        <v>219</v>
      </c>
      <c r="C13" s="57" t="s">
        <v>220</v>
      </c>
      <c r="D13" s="57">
        <v>6</v>
      </c>
      <c r="E13" s="57">
        <v>18</v>
      </c>
      <c r="F13" s="57">
        <v>8.5</v>
      </c>
      <c r="G13" s="58">
        <v>0.48399999999999999</v>
      </c>
      <c r="H13" s="58">
        <v>1.7669999999999999</v>
      </c>
      <c r="I13" s="58">
        <v>3.5</v>
      </c>
      <c r="J13" s="58">
        <v>0.183</v>
      </c>
      <c r="K13" s="58">
        <v>0.318</v>
      </c>
      <c r="L13" s="59">
        <f>MAX(0.01,Equations!$C$6+Equations!$C$7*G13+Equations!$C$8*I13+Equations!$C$9*H13+Equations!$C$10*G13^2+Equations!$C$11*G13*I13+Equations!$C$12*G13*H13+Equations!$C$13*I13^2+Equations!$C$14*I13*H13+Equations!$C$15*H13^2)</f>
        <v>0.31759078790000006</v>
      </c>
      <c r="M13" s="60">
        <f t="shared" si="0"/>
        <v>-4.092120999999449E-4</v>
      </c>
      <c r="N13" s="58">
        <v>0.35099999999999998</v>
      </c>
      <c r="O13" s="58">
        <v>0.80700000000000005</v>
      </c>
      <c r="P13" s="59">
        <f>MAX(0.01,Equations!$D$6+Equations!$D$7*G13+Equations!$D$8*I13+Equations!$D$10*G13^2+Equations!$D$11*G13*I13+Equations!$D$13*I13^2)</f>
        <v>0.80626724800000005</v>
      </c>
      <c r="Q13" s="60">
        <f t="shared" si="1"/>
        <v>-7.3275200000000318E-4</v>
      </c>
    </row>
    <row r="14" spans="1:18" x14ac:dyDescent="0.25">
      <c r="A14" s="57">
        <v>10</v>
      </c>
      <c r="B14" s="57" t="s">
        <v>222</v>
      </c>
      <c r="C14" s="57" t="s">
        <v>223</v>
      </c>
      <c r="D14" s="57">
        <v>2</v>
      </c>
      <c r="E14" s="57">
        <v>6</v>
      </c>
      <c r="F14" s="57">
        <v>4.9000000000000004</v>
      </c>
      <c r="G14" s="58">
        <v>0.36799999999999999</v>
      </c>
      <c r="H14" s="58">
        <v>1.2250000000000001</v>
      </c>
      <c r="I14" s="58">
        <v>2</v>
      </c>
      <c r="J14" s="58">
        <v>0.1</v>
      </c>
      <c r="K14" s="58">
        <v>0.34699999999999998</v>
      </c>
      <c r="L14" s="59">
        <f>MAX(0.01,Equations!$C$6+Equations!$C$7*G14+Equations!$C$8*I14+Equations!$C$9*H14+Equations!$C$10*G14^2+Equations!$C$11*G14*I14+Equations!$C$12*G14*H14+Equations!$C$13*I14^2+Equations!$C$14*I14*H14+Equations!$C$15*H14^2)</f>
        <v>0.34689218390000004</v>
      </c>
      <c r="M14" s="60">
        <f t="shared" si="0"/>
        <v>-1.0781609999993558E-4</v>
      </c>
      <c r="N14" s="58">
        <v>0.23</v>
      </c>
      <c r="O14" s="58">
        <v>0.79900000000000004</v>
      </c>
      <c r="P14" s="59">
        <f>MAX(0.01,Equations!$D$6+Equations!$D$7*G14+Equations!$D$8*I14+Equations!$D$10*G14^2+Equations!$D$11*G14*I14+Equations!$D$13*I14^2)</f>
        <v>0.798079392</v>
      </c>
      <c r="Q14" s="60">
        <f t="shared" si="1"/>
        <v>-9.2060800000004495E-4</v>
      </c>
    </row>
    <row r="15" spans="1:18" x14ac:dyDescent="0.25">
      <c r="A15" s="57">
        <v>11</v>
      </c>
      <c r="B15" s="57" t="s">
        <v>222</v>
      </c>
      <c r="C15" s="57" t="s">
        <v>223</v>
      </c>
      <c r="D15" s="57">
        <v>5</v>
      </c>
      <c r="E15" s="57">
        <v>15</v>
      </c>
      <c r="F15" s="57">
        <v>7.7</v>
      </c>
      <c r="G15" s="58">
        <v>0.46200000000000002</v>
      </c>
      <c r="H15" s="58">
        <v>1.5489999999999999</v>
      </c>
      <c r="I15" s="58">
        <v>2.6</v>
      </c>
      <c r="J15" s="58">
        <v>0.18</v>
      </c>
      <c r="K15" s="58">
        <v>0.30299999999999999</v>
      </c>
      <c r="L15" s="59">
        <f>MAX(0.01,Equations!$C$6+Equations!$C$7*G15+Equations!$C$8*I15+Equations!$C$9*H15+Equations!$C$10*G15^2+Equations!$C$11*G15*I15+Equations!$C$12*G15*H15+Equations!$C$13*I15^2+Equations!$C$14*I15*H15+Equations!$C$15*H15^2)</f>
        <v>0.30281911109999998</v>
      </c>
      <c r="M15" s="60">
        <f t="shared" si="0"/>
        <v>-1.8088890000000912E-4</v>
      </c>
      <c r="N15" s="58">
        <v>0.35</v>
      </c>
      <c r="O15" s="58">
        <v>0.73899999999999999</v>
      </c>
      <c r="P15" s="59">
        <f>MAX(0.01,Equations!$D$6+Equations!$D$7*G15+Equations!$D$8*I15+Equations!$D$10*G15^2+Equations!$D$11*G15*I15+Equations!$D$13*I15^2)</f>
        <v>0.73928330199999992</v>
      </c>
      <c r="Q15" s="60">
        <f t="shared" si="1"/>
        <v>2.8330199999992978E-4</v>
      </c>
    </row>
    <row r="16" spans="1:18" x14ac:dyDescent="0.25">
      <c r="A16" s="57">
        <v>12</v>
      </c>
      <c r="B16" s="57" t="s">
        <v>222</v>
      </c>
      <c r="C16" s="57" t="s">
        <v>223</v>
      </c>
      <c r="D16" s="57">
        <v>4</v>
      </c>
      <c r="E16" s="57">
        <v>12</v>
      </c>
      <c r="F16" s="57">
        <v>6.9</v>
      </c>
      <c r="G16" s="58">
        <v>0.437</v>
      </c>
      <c r="H16" s="58">
        <v>1.732</v>
      </c>
      <c r="I16" s="58">
        <v>2.2999999999999998</v>
      </c>
      <c r="J16" s="58">
        <v>0.11</v>
      </c>
      <c r="K16" s="58">
        <v>0.28199999999999997</v>
      </c>
      <c r="L16" s="59">
        <f>MAX(0.01,Equations!$C$6+Equations!$C$7*G16+Equations!$C$8*I16+Equations!$C$9*H16+Equations!$C$10*G16^2+Equations!$C$11*G16*I16+Equations!$C$12*G16*H16+Equations!$C$13*I16^2+Equations!$C$14*I16*H16+Equations!$C$15*H16^2)</f>
        <v>0.28226151019999995</v>
      </c>
      <c r="M16" s="60">
        <f t="shared" si="0"/>
        <v>2.6151019999998137E-4</v>
      </c>
      <c r="N16" s="58">
        <v>0.25</v>
      </c>
      <c r="O16" s="58">
        <v>0.73799999999999999</v>
      </c>
      <c r="P16" s="59">
        <f>MAX(0.01,Equations!$D$6+Equations!$D$7*G16+Equations!$D$8*I16+Equations!$D$10*G16^2+Equations!$D$11*G16*I16+Equations!$D$13*I16^2)</f>
        <v>0.73838488949999992</v>
      </c>
      <c r="Q16" s="60">
        <f t="shared" si="1"/>
        <v>3.8488949999992972E-4</v>
      </c>
    </row>
    <row r="17" spans="1:18" x14ac:dyDescent="0.25">
      <c r="A17" s="57">
        <v>13</v>
      </c>
      <c r="B17" s="57" t="s">
        <v>224</v>
      </c>
      <c r="C17" s="57" t="s">
        <v>220</v>
      </c>
      <c r="D17" s="57">
        <v>2</v>
      </c>
      <c r="E17" s="57">
        <v>6.5</v>
      </c>
      <c r="F17" s="57">
        <v>5.0999999999999996</v>
      </c>
      <c r="G17" s="58">
        <v>0.375</v>
      </c>
      <c r="H17" s="58">
        <v>1.2749999999999999</v>
      </c>
      <c r="I17" s="58">
        <v>1</v>
      </c>
      <c r="J17" s="58">
        <v>0.2</v>
      </c>
      <c r="K17" s="58">
        <v>0.252</v>
      </c>
      <c r="L17" s="59">
        <f>MAX(0.01,Equations!$C$6+Equations!$C$7*G17+Equations!$C$8*I17+Equations!$C$9*H17+Equations!$C$10*G17^2+Equations!$C$11*G17*I17+Equations!$C$12*G17*H17+Equations!$C$13*I17^2+Equations!$C$14*I17*H17+Equations!$C$15*H17^2)</f>
        <v>0.25238356249999999</v>
      </c>
      <c r="M17" s="60">
        <f t="shared" si="0"/>
        <v>3.8356249999998981E-4</v>
      </c>
      <c r="N17" s="58">
        <v>1.23</v>
      </c>
      <c r="O17" s="58">
        <v>0.66400000000000003</v>
      </c>
      <c r="P17" s="59">
        <f>MAX(0.01,Equations!$D$6+Equations!$D$7*G17+Equations!$D$8*I17+Equations!$D$10*G17^2+Equations!$D$11*G17*I17+Equations!$D$13*I17^2)</f>
        <v>0.66397968750000003</v>
      </c>
      <c r="Q17" s="60">
        <f t="shared" si="1"/>
        <v>-2.0312500000008171E-5</v>
      </c>
    </row>
    <row r="18" spans="1:18" x14ac:dyDescent="0.25">
      <c r="A18" s="57">
        <v>14</v>
      </c>
      <c r="B18" s="57" t="s">
        <v>224</v>
      </c>
      <c r="C18" s="57" t="s">
        <v>220</v>
      </c>
      <c r="D18" s="57">
        <v>5</v>
      </c>
      <c r="E18" s="57">
        <v>16.5</v>
      </c>
      <c r="F18" s="57">
        <v>8.1</v>
      </c>
      <c r="G18" s="58">
        <v>0.47299999999999998</v>
      </c>
      <c r="H18" s="58">
        <v>2.0310000000000001</v>
      </c>
      <c r="I18" s="58">
        <v>1</v>
      </c>
      <c r="J18" s="58">
        <v>0.14000000000000001</v>
      </c>
      <c r="K18" s="58">
        <v>0.161</v>
      </c>
      <c r="L18" s="59">
        <f>MAX(0.01,Equations!$C$6+Equations!$C$7*G18+Equations!$C$8*I18+Equations!$C$9*H18+Equations!$C$10*G18^2+Equations!$C$11*G18*I18+Equations!$C$12*G18*H18+Equations!$C$13*I18^2+Equations!$C$14*I18*H18+Equations!$C$15*H18^2)</f>
        <v>0.16181412410000001</v>
      </c>
      <c r="M18" s="60">
        <f t="shared" si="0"/>
        <v>8.1412410000000768E-4</v>
      </c>
      <c r="N18" s="58">
        <v>0.38</v>
      </c>
      <c r="O18" s="58">
        <v>0.54200000000000004</v>
      </c>
      <c r="P18" s="59">
        <f>MAX(0.01,Equations!$D$6+Equations!$D$7*G18+Equations!$D$8*I18+Equations!$D$10*G18^2+Equations!$D$11*G18*I18+Equations!$D$13*I18^2)</f>
        <v>0.54268351950000004</v>
      </c>
      <c r="Q18" s="60">
        <f t="shared" si="1"/>
        <v>6.8351950000000716E-4</v>
      </c>
    </row>
    <row r="19" spans="1:18" x14ac:dyDescent="0.25">
      <c r="A19" s="57">
        <v>15</v>
      </c>
      <c r="B19" s="57" t="s">
        <v>225</v>
      </c>
      <c r="C19" s="57" t="s">
        <v>220</v>
      </c>
      <c r="D19" s="57">
        <v>2</v>
      </c>
      <c r="E19" s="57">
        <v>6</v>
      </c>
      <c r="F19" s="57">
        <v>4.9000000000000004</v>
      </c>
      <c r="G19" s="58">
        <v>0.36799999999999999</v>
      </c>
      <c r="H19" s="58">
        <v>1.2250000000000001</v>
      </c>
      <c r="I19" s="58">
        <v>0.8</v>
      </c>
      <c r="J19" s="58">
        <v>0.18</v>
      </c>
      <c r="K19" s="58">
        <v>0.24099999999999999</v>
      </c>
      <c r="L19" s="59">
        <f>MAX(0.01,Equations!$C$6+Equations!$C$7*G19+Equations!$C$8*I19+Equations!$C$9*H19+Equations!$C$10*G19^2+Equations!$C$11*G19*I19+Equations!$C$12*G19*H19+Equations!$C$13*I19^2+Equations!$C$14*I19*H19+Equations!$C$15*H19^2)</f>
        <v>0.24101450390000004</v>
      </c>
      <c r="M19" s="60">
        <f t="shared" si="0"/>
        <v>1.4503900000045755E-5</v>
      </c>
      <c r="N19" s="58">
        <v>0.87</v>
      </c>
      <c r="O19" s="58">
        <v>0.64800000000000002</v>
      </c>
      <c r="P19" s="59">
        <f>MAX(0.01,Equations!$D$6+Equations!$D$7*G19+Equations!$D$8*I19+Equations!$D$10*G19^2+Equations!$D$11*G19*I19+Equations!$D$13*I19^2)</f>
        <v>0.64771459199999992</v>
      </c>
      <c r="Q19" s="60">
        <f t="shared" si="1"/>
        <v>-2.8540800000009803E-4</v>
      </c>
    </row>
    <row r="20" spans="1:18" x14ac:dyDescent="0.25">
      <c r="A20" s="57">
        <v>16</v>
      </c>
      <c r="B20" s="57" t="s">
        <v>225</v>
      </c>
      <c r="C20" s="57" t="s">
        <v>220</v>
      </c>
      <c r="D20" s="57">
        <v>5</v>
      </c>
      <c r="E20" s="57">
        <v>15</v>
      </c>
      <c r="F20" s="57">
        <v>7.7</v>
      </c>
      <c r="G20" s="58">
        <v>0.46200000000000002</v>
      </c>
      <c r="H20" s="58">
        <v>1.9359999999999999</v>
      </c>
      <c r="I20" s="58">
        <v>0.8</v>
      </c>
      <c r="J20" s="58">
        <v>0.1</v>
      </c>
      <c r="K20" s="58">
        <v>0.158</v>
      </c>
      <c r="L20" s="59">
        <f>MAX(0.01,Equations!$C$6+Equations!$C$7*G20+Equations!$C$8*I20+Equations!$C$9*H20+Equations!$C$10*G20^2+Equations!$C$11*G20*I20+Equations!$C$12*G20*H20+Equations!$C$13*I20^2+Equations!$C$14*I20*H20+Equations!$C$15*H20^2)</f>
        <v>0.1586999016</v>
      </c>
      <c r="M20" s="60">
        <f t="shared" si="0"/>
        <v>6.999015999999969E-4</v>
      </c>
      <c r="N20" s="58">
        <v>0.37</v>
      </c>
      <c r="O20" s="58">
        <v>0.53100000000000003</v>
      </c>
      <c r="P20" s="59">
        <f>MAX(0.01,Equations!$D$6+Equations!$D$7*G20+Equations!$D$8*I20+Equations!$D$10*G20^2+Equations!$D$11*G20*I20+Equations!$D$13*I20^2)</f>
        <v>0.53127350200000001</v>
      </c>
      <c r="Q20" s="60">
        <f t="shared" si="1"/>
        <v>2.7350199999998104E-4</v>
      </c>
    </row>
    <row r="21" spans="1:18" x14ac:dyDescent="0.25">
      <c r="A21" s="57">
        <v>17</v>
      </c>
      <c r="B21" s="57" t="s">
        <v>225</v>
      </c>
      <c r="C21" s="57" t="s">
        <v>220</v>
      </c>
      <c r="D21" s="57">
        <v>2</v>
      </c>
      <c r="E21" s="57">
        <v>6</v>
      </c>
      <c r="F21" s="57">
        <v>4.9000000000000004</v>
      </c>
      <c r="G21" s="58">
        <v>0.36799999999999999</v>
      </c>
      <c r="H21" s="58">
        <v>1.2250000000000001</v>
      </c>
      <c r="I21" s="58">
        <v>1.2</v>
      </c>
      <c r="J21" s="58">
        <v>0.23</v>
      </c>
      <c r="K21" s="58">
        <v>0.27800000000000002</v>
      </c>
      <c r="L21" s="59">
        <f>MAX(0.01,Equations!$C$6+Equations!$C$7*G21+Equations!$C$8*I21+Equations!$C$9*H21+Equations!$C$10*G21^2+Equations!$C$11*G21*I21+Equations!$C$12*G21*H21+Equations!$C$13*I21^2+Equations!$C$14*I21*H21+Equations!$C$15*H21^2)</f>
        <v>0.2772670639</v>
      </c>
      <c r="M21" s="60">
        <f t="shared" si="0"/>
        <v>-7.3293610000002563E-4</v>
      </c>
      <c r="N21" s="58">
        <v>1.23</v>
      </c>
      <c r="O21" s="58">
        <v>0.69899999999999995</v>
      </c>
      <c r="P21" s="59">
        <f>MAX(0.01,Equations!$D$6+Equations!$D$7*G21+Equations!$D$8*I21+Equations!$D$10*G21^2+Equations!$D$11*G21*I21+Equations!$D$13*I21^2)</f>
        <v>0.69879619199999998</v>
      </c>
      <c r="Q21" s="60">
        <f t="shared" si="1"/>
        <v>-2.0380799999997201E-4</v>
      </c>
    </row>
    <row r="22" spans="1:18" x14ac:dyDescent="0.25">
      <c r="A22" s="57">
        <v>18</v>
      </c>
      <c r="B22" s="57" t="s">
        <v>225</v>
      </c>
      <c r="C22" s="57" t="s">
        <v>220</v>
      </c>
      <c r="D22" s="57">
        <v>5</v>
      </c>
      <c r="E22" s="57">
        <v>15</v>
      </c>
      <c r="F22" s="57">
        <v>7.7</v>
      </c>
      <c r="G22" s="58">
        <v>0.46200000000000002</v>
      </c>
      <c r="H22" s="58">
        <v>1.9359999999999999</v>
      </c>
      <c r="I22" s="58">
        <v>1.2</v>
      </c>
      <c r="J22" s="58">
        <v>0.09</v>
      </c>
      <c r="K22" s="58">
        <v>0.184</v>
      </c>
      <c r="L22" s="59">
        <f>MAX(0.01,Equations!$C$6+Equations!$C$7*G22+Equations!$C$8*I22+Equations!$C$9*H22+Equations!$C$10*G22^2+Equations!$C$11*G22*I22+Equations!$C$12*G22*H22+Equations!$C$13*I22^2+Equations!$C$14*I22*H22+Equations!$C$15*H22^2)</f>
        <v>0.18437670160000005</v>
      </c>
      <c r="M22" s="60">
        <f t="shared" si="0"/>
        <v>3.767016000000567E-4</v>
      </c>
      <c r="N22" s="58">
        <v>0.33</v>
      </c>
      <c r="O22" s="58">
        <v>0.57899999999999996</v>
      </c>
      <c r="P22" s="59">
        <f>MAX(0.01,Equations!$D$6+Equations!$D$7*G22+Equations!$D$8*I22+Equations!$D$10*G22^2+Equations!$D$11*G22*I22+Equations!$D$13*I22^2)</f>
        <v>0.57917790200000008</v>
      </c>
      <c r="Q22" s="60">
        <f t="shared" si="1"/>
        <v>1.7790200000011858E-4</v>
      </c>
    </row>
    <row r="23" spans="1:18" x14ac:dyDescent="0.25">
      <c r="A23" s="57">
        <v>19</v>
      </c>
      <c r="B23" s="57" t="s">
        <v>225</v>
      </c>
      <c r="C23" s="57" t="s">
        <v>220</v>
      </c>
      <c r="D23" s="57">
        <v>9</v>
      </c>
      <c r="E23" s="57">
        <v>27</v>
      </c>
      <c r="F23" s="57">
        <v>10.4</v>
      </c>
      <c r="G23" s="58">
        <v>0.53500000000000003</v>
      </c>
      <c r="H23" s="58">
        <v>2.5979999999999999</v>
      </c>
      <c r="I23" s="58">
        <v>1.2</v>
      </c>
      <c r="J23" s="58">
        <v>0.06</v>
      </c>
      <c r="K23" s="58">
        <v>0.11700000000000001</v>
      </c>
      <c r="L23" s="59">
        <f>MAX(0.01,Equations!$C$6+Equations!$C$7*G23+Equations!$C$8*I23+Equations!$C$9*H23+Equations!$C$10*G23^2+Equations!$C$11*G23*I23+Equations!$C$12*G23*H23+Equations!$C$13*I23^2+Equations!$C$14*I23*H23+Equations!$C$15*H23^2)</f>
        <v>0.11745759380000001</v>
      </c>
      <c r="M23" s="60">
        <f t="shared" si="0"/>
        <v>4.5759380000000294E-4</v>
      </c>
      <c r="N23" s="58">
        <v>0.25</v>
      </c>
      <c r="O23" s="58">
        <v>0.498</v>
      </c>
      <c r="P23" s="59">
        <f>MAX(0.01,Equations!$D$6+Equations!$D$7*G23+Equations!$D$8*I23+Equations!$D$10*G23^2+Equations!$D$11*G23*I23+Equations!$D$13*I23^2)</f>
        <v>0.49841898749999991</v>
      </c>
      <c r="Q23" s="60">
        <f t="shared" si="1"/>
        <v>4.1898749999991214E-4</v>
      </c>
    </row>
    <row r="24" spans="1:18" x14ac:dyDescent="0.25">
      <c r="A24" s="57">
        <v>20</v>
      </c>
      <c r="B24" s="57" t="s">
        <v>225</v>
      </c>
      <c r="C24" s="57" t="s">
        <v>220</v>
      </c>
      <c r="D24" s="57">
        <v>2</v>
      </c>
      <c r="E24" s="57">
        <v>6</v>
      </c>
      <c r="F24" s="57">
        <v>4.9000000000000004</v>
      </c>
      <c r="G24" s="58">
        <v>0.36799999999999999</v>
      </c>
      <c r="H24" s="58">
        <v>1.2250000000000001</v>
      </c>
      <c r="I24" s="58">
        <v>1.3</v>
      </c>
      <c r="J24" s="58">
        <v>0.27</v>
      </c>
      <c r="K24" s="58">
        <v>0.28599999999999998</v>
      </c>
      <c r="L24" s="59">
        <f>MAX(0.01,Equations!$C$6+Equations!$C$7*G24+Equations!$C$8*I24+Equations!$C$9*H24+Equations!$C$10*G24^2+Equations!$C$11*G24*I24+Equations!$C$12*G24*H24+Equations!$C$13*I24^2+Equations!$C$14*I24*H24+Equations!$C$15*H24^2)</f>
        <v>0.28618020389999999</v>
      </c>
      <c r="M24" s="60">
        <f t="shared" si="0"/>
        <v>1.8020390000000885E-4</v>
      </c>
      <c r="N24" s="58">
        <v>1.59</v>
      </c>
      <c r="O24" s="58">
        <v>0.71199999999999997</v>
      </c>
      <c r="P24" s="59">
        <f>MAX(0.01,Equations!$D$6+Equations!$D$7*G24+Equations!$D$8*I24+Equations!$D$10*G24^2+Equations!$D$11*G24*I24+Equations!$D$13*I24^2)</f>
        <v>0.71141659199999996</v>
      </c>
      <c r="Q24" s="60">
        <f t="shared" si="1"/>
        <v>-5.8340800000000748E-4</v>
      </c>
    </row>
    <row r="25" spans="1:18" x14ac:dyDescent="0.25">
      <c r="A25" s="57">
        <v>21</v>
      </c>
      <c r="B25" s="57" t="s">
        <v>225</v>
      </c>
      <c r="C25" s="57" t="s">
        <v>220</v>
      </c>
      <c r="D25" s="57">
        <v>5</v>
      </c>
      <c r="E25" s="57">
        <v>15</v>
      </c>
      <c r="F25" s="57">
        <v>7.7</v>
      </c>
      <c r="G25" s="58">
        <v>0.46200000000000002</v>
      </c>
      <c r="H25" s="58">
        <v>1.9359999999999999</v>
      </c>
      <c r="I25" s="58">
        <v>1.3</v>
      </c>
      <c r="J25" s="58">
        <v>0.1</v>
      </c>
      <c r="K25" s="58">
        <v>0.19</v>
      </c>
      <c r="L25" s="59">
        <f>MAX(0.01,Equations!$C$6+Equations!$C$7*G25+Equations!$C$8*I25+Equations!$C$9*H25+Equations!$C$10*G25^2+Equations!$C$11*G25*I25+Equations!$C$12*G25*H25+Equations!$C$13*I25^2+Equations!$C$14*I25*H25+Equations!$C$15*H25^2)</f>
        <v>0.19064590160000003</v>
      </c>
      <c r="M25" s="60">
        <f t="shared" si="0"/>
        <v>6.4590160000002617E-4</v>
      </c>
      <c r="N25" s="58">
        <v>0.39</v>
      </c>
      <c r="O25" s="58">
        <v>0.59099999999999997</v>
      </c>
      <c r="P25" s="59">
        <f>MAX(0.01,Equations!$D$6+Equations!$D$7*G25+Equations!$D$8*I25+Equations!$D$10*G25^2+Equations!$D$11*G25*I25+Equations!$D$13*I25^2)</f>
        <v>0.59100400199999992</v>
      </c>
      <c r="Q25" s="60">
        <f t="shared" si="1"/>
        <v>4.0019999999474365E-6</v>
      </c>
    </row>
    <row r="26" spans="1:18" x14ac:dyDescent="0.25">
      <c r="A26" s="57">
        <v>22</v>
      </c>
      <c r="B26" s="57" t="s">
        <v>225</v>
      </c>
      <c r="C26" s="57" t="s">
        <v>220</v>
      </c>
      <c r="D26" s="57">
        <v>9</v>
      </c>
      <c r="E26" s="57">
        <v>27</v>
      </c>
      <c r="F26" s="57">
        <v>10.4</v>
      </c>
      <c r="G26" s="58">
        <v>0.53500000000000003</v>
      </c>
      <c r="H26" s="58">
        <v>2.589</v>
      </c>
      <c r="I26" s="58">
        <v>1.2</v>
      </c>
      <c r="J26" s="58">
        <v>0.1</v>
      </c>
      <c r="K26" s="58">
        <v>0.121</v>
      </c>
      <c r="L26" s="59">
        <f>MAX(0.01,Equations!$C$6+Equations!$C$7*G26+Equations!$C$8*I26+Equations!$C$9*H26+Equations!$C$10*G26^2+Equations!$C$11*G26*I26+Equations!$C$12*G26*H26+Equations!$C$13*I26^2+Equations!$C$14*I26*H26+Equations!$C$15*H26^2)</f>
        <v>0.11789887370000005</v>
      </c>
      <c r="M26" s="60">
        <f t="shared" si="0"/>
        <v>-3.1011262999999512E-3</v>
      </c>
      <c r="N26" s="58">
        <v>0.41</v>
      </c>
      <c r="O26" s="58">
        <v>0.50900000000000001</v>
      </c>
      <c r="P26" s="59">
        <f>MAX(0.01,Equations!$D$6+Equations!$D$7*G26+Equations!$D$8*I26+Equations!$D$10*G26^2+Equations!$D$11*G26*I26+Equations!$D$13*I26^2)</f>
        <v>0.49841898749999991</v>
      </c>
      <c r="Q26" s="60">
        <f t="shared" si="1"/>
        <v>-1.0581012500000098E-2</v>
      </c>
      <c r="R26" s="61" t="s">
        <v>226</v>
      </c>
    </row>
    <row r="27" spans="1:18" x14ac:dyDescent="0.25">
      <c r="A27" s="57">
        <v>23</v>
      </c>
      <c r="B27" s="57" t="s">
        <v>225</v>
      </c>
      <c r="C27" s="57" t="s">
        <v>220</v>
      </c>
      <c r="D27" s="57">
        <v>2</v>
      </c>
      <c r="E27" s="57">
        <v>6</v>
      </c>
      <c r="F27" s="57">
        <v>4.9000000000000004</v>
      </c>
      <c r="G27" s="58">
        <v>0.36799999999999999</v>
      </c>
      <c r="H27" s="58">
        <v>1.2250000000000001</v>
      </c>
      <c r="I27" s="58">
        <v>1.8</v>
      </c>
      <c r="J27" s="58">
        <v>0.33</v>
      </c>
      <c r="K27" s="58">
        <v>0.33</v>
      </c>
      <c r="L27" s="59">
        <f>MAX(0.01,Equations!$C$6+Equations!$C$7*G27+Equations!$C$8*I27+Equations!$C$9*H27+Equations!$C$10*G27^2+Equations!$C$11*G27*I27+Equations!$C$12*G27*H27+Equations!$C$13*I27^2+Equations!$C$14*I27*H27+Equations!$C$15*H27^2)</f>
        <v>0.32984590390000001</v>
      </c>
      <c r="M27" s="60">
        <f t="shared" si="0"/>
        <v>-1.5409610000000074E-4</v>
      </c>
      <c r="N27" s="58">
        <v>2.42</v>
      </c>
      <c r="O27" s="58">
        <v>0.77400000000000002</v>
      </c>
      <c r="P27" s="59">
        <f>MAX(0.01,Equations!$D$6+Equations!$D$7*G27+Equations!$D$8*I27+Equations!$D$10*G27^2+Equations!$D$11*G27*I27+Equations!$D$13*I27^2)</f>
        <v>0.77361859200000005</v>
      </c>
      <c r="Q27" s="60">
        <f t="shared" si="1"/>
        <v>-3.8140799999997199E-4</v>
      </c>
    </row>
    <row r="28" spans="1:18" x14ac:dyDescent="0.25">
      <c r="A28" s="57">
        <v>24</v>
      </c>
      <c r="B28" s="57" t="s">
        <v>225</v>
      </c>
      <c r="C28" s="57" t="s">
        <v>220</v>
      </c>
      <c r="D28" s="57">
        <v>5</v>
      </c>
      <c r="E28" s="57">
        <v>15</v>
      </c>
      <c r="F28" s="57">
        <v>7.7</v>
      </c>
      <c r="G28" s="58">
        <v>0.46200000000000002</v>
      </c>
      <c r="H28" s="58">
        <v>1.9359999999999999</v>
      </c>
      <c r="I28" s="58">
        <v>1.8</v>
      </c>
      <c r="J28" s="58">
        <v>0.11</v>
      </c>
      <c r="K28" s="58">
        <v>0.221</v>
      </c>
      <c r="L28" s="59">
        <f>MAX(0.01,Equations!$C$6+Equations!$C$7*G28+Equations!$C$8*I28+Equations!$C$9*H28+Equations!$C$10*G28^2+Equations!$C$11*G28*I28+Equations!$C$12*G28*H28+Equations!$C$13*I28^2+Equations!$C$14*I28*H28+Equations!$C$15*H28^2)</f>
        <v>0.22109190160000006</v>
      </c>
      <c r="M28" s="60">
        <f t="shared" si="0"/>
        <v>9.1901600000054984E-5</v>
      </c>
      <c r="N28" s="58">
        <v>0.5</v>
      </c>
      <c r="O28" s="58">
        <v>0.64900000000000002</v>
      </c>
      <c r="P28" s="59">
        <f>MAX(0.01,Equations!$D$6+Equations!$D$7*G28+Equations!$D$8*I28+Equations!$D$10*G28^2+Equations!$D$11*G28*I28+Equations!$D$13*I28^2)</f>
        <v>0.6492345020000001</v>
      </c>
      <c r="Q28" s="60">
        <f t="shared" si="1"/>
        <v>2.3450200000008081E-4</v>
      </c>
    </row>
    <row r="29" spans="1:18" x14ac:dyDescent="0.25">
      <c r="A29" s="57">
        <v>25</v>
      </c>
      <c r="B29" s="57" t="s">
        <v>225</v>
      </c>
      <c r="C29" s="57" t="s">
        <v>220</v>
      </c>
      <c r="D29" s="57">
        <v>9</v>
      </c>
      <c r="E29" s="57">
        <v>27</v>
      </c>
      <c r="F29" s="57">
        <v>10.4</v>
      </c>
      <c r="G29" s="58">
        <v>0.53500000000000003</v>
      </c>
      <c r="H29" s="58">
        <v>2.5979999999999999</v>
      </c>
      <c r="I29" s="58">
        <v>1.8</v>
      </c>
      <c r="J29" s="58">
        <v>0.05</v>
      </c>
      <c r="K29" s="58">
        <v>0.14000000000000001</v>
      </c>
      <c r="L29" s="59">
        <f>MAX(0.01,Equations!$C$6+Equations!$C$7*G29+Equations!$C$8*I29+Equations!$C$9*H29+Equations!$C$10*G29^2+Equations!$C$11*G29*I29+Equations!$C$12*G29*H29+Equations!$C$13*I29^2+Equations!$C$14*I29*H29+Equations!$C$15*H29^2)</f>
        <v>0.14023191379999997</v>
      </c>
      <c r="M29" s="60">
        <f t="shared" si="0"/>
        <v>2.3191379999995543E-4</v>
      </c>
      <c r="N29" s="58">
        <v>0.4</v>
      </c>
      <c r="O29" s="58">
        <v>0.56399999999999995</v>
      </c>
      <c r="P29" s="59">
        <f>MAX(0.01,Equations!$D$6+Equations!$D$7*G29+Equations!$D$8*I29+Equations!$D$10*G29^2+Equations!$D$11*G29*I29+Equations!$D$13*I29^2)</f>
        <v>0.56477448750000003</v>
      </c>
      <c r="Q29" s="60">
        <f t="shared" si="1"/>
        <v>7.7448750000008726E-4</v>
      </c>
    </row>
    <row r="30" spans="1:18" x14ac:dyDescent="0.25">
      <c r="A30" s="57">
        <v>26</v>
      </c>
      <c r="B30" s="57" t="s">
        <v>225</v>
      </c>
      <c r="C30" s="57" t="s">
        <v>220</v>
      </c>
      <c r="D30" s="57">
        <v>2</v>
      </c>
      <c r="E30" s="57">
        <v>6</v>
      </c>
      <c r="F30" s="57">
        <v>4.9000000000000004</v>
      </c>
      <c r="G30" s="58">
        <v>0.36799999999999999</v>
      </c>
      <c r="H30" s="58">
        <v>1.2250000000000001</v>
      </c>
      <c r="I30" s="58">
        <v>2.5</v>
      </c>
      <c r="J30" s="58">
        <v>0.65</v>
      </c>
      <c r="K30" s="58">
        <v>0.38900000000000001</v>
      </c>
      <c r="L30" s="59">
        <f>MAX(0.01,Equations!$C$6+Equations!$C$7*G30+Equations!$C$8*I30+Equations!$C$9*H30+Equations!$C$10*G30^2+Equations!$C$11*G30*I30+Equations!$C$12*G30*H30+Equations!$C$13*I30^2+Equations!$C$14*I30*H30+Equations!$C$15*H30^2)</f>
        <v>0.38845788390000002</v>
      </c>
      <c r="M30" s="60">
        <f t="shared" si="0"/>
        <v>-5.4211609999998966E-4</v>
      </c>
      <c r="N30" s="57" t="s">
        <v>227</v>
      </c>
      <c r="O30" s="58">
        <v>0.85899999999999999</v>
      </c>
      <c r="P30" s="59">
        <f>MAX(0.01,Equations!$D$6+Equations!$D$7*G30+Equations!$D$8*I30+Equations!$D$10*G30^2+Equations!$D$11*G30*I30+Equations!$D$13*I30^2)</f>
        <v>0.85818139199999999</v>
      </c>
      <c r="Q30" s="60">
        <f t="shared" si="1"/>
        <v>-8.1860799999999845E-4</v>
      </c>
    </row>
    <row r="31" spans="1:18" x14ac:dyDescent="0.25">
      <c r="A31" s="57">
        <v>27</v>
      </c>
      <c r="B31" s="57" t="s">
        <v>225</v>
      </c>
      <c r="C31" s="57" t="s">
        <v>220</v>
      </c>
      <c r="D31" s="57">
        <v>5</v>
      </c>
      <c r="E31" s="57">
        <v>15</v>
      </c>
      <c r="F31" s="57">
        <v>7.7</v>
      </c>
      <c r="G31" s="58">
        <v>0.46200000000000002</v>
      </c>
      <c r="H31" s="58">
        <v>1.9359999999999999</v>
      </c>
      <c r="I31" s="58">
        <v>2.5</v>
      </c>
      <c r="J31" s="58">
        <v>0.14000000000000001</v>
      </c>
      <c r="K31" s="58">
        <v>0.26100000000000001</v>
      </c>
      <c r="L31" s="59">
        <f>MAX(0.01,Equations!$C$6+Equations!$C$7*G31+Equations!$C$8*I31+Equations!$C$9*H31+Equations!$C$10*G31^2+Equations!$C$11*G31*I31+Equations!$C$12*G31*H31+Equations!$C$13*I31^2+Equations!$C$14*I31*H31+Equations!$C$15*H31^2)</f>
        <v>0.26119630159999996</v>
      </c>
      <c r="M31" s="60">
        <f t="shared" si="0"/>
        <v>1.9630159999994845E-4</v>
      </c>
      <c r="N31" s="58">
        <v>0.86</v>
      </c>
      <c r="O31" s="58">
        <v>0.72799999999999998</v>
      </c>
      <c r="P31" s="59">
        <f>MAX(0.01,Equations!$D$6+Equations!$D$7*G31+Equations!$D$8*I31+Equations!$D$10*G31^2+Equations!$D$11*G31*I31+Equations!$D$13*I31^2)</f>
        <v>0.72823720200000008</v>
      </c>
      <c r="Q31" s="60">
        <f t="shared" si="1"/>
        <v>2.3720200000010294E-4</v>
      </c>
    </row>
    <row r="32" spans="1:18" x14ac:dyDescent="0.25">
      <c r="A32" s="57">
        <v>28</v>
      </c>
      <c r="B32" s="57" t="s">
        <v>225</v>
      </c>
      <c r="C32" s="57" t="s">
        <v>220</v>
      </c>
      <c r="D32" s="57">
        <v>9</v>
      </c>
      <c r="E32" s="57">
        <v>27</v>
      </c>
      <c r="F32" s="57">
        <v>10.4</v>
      </c>
      <c r="G32" s="58">
        <v>0.53500000000000003</v>
      </c>
      <c r="H32" s="58">
        <v>2.5979999999999999</v>
      </c>
      <c r="I32" s="58">
        <v>2.5</v>
      </c>
      <c r="J32" s="58">
        <v>0.1</v>
      </c>
      <c r="K32" s="58">
        <v>0.16400000000000001</v>
      </c>
      <c r="L32" s="59">
        <f>MAX(0.01,Equations!$C$6+Equations!$C$7*G32+Equations!$C$8*I32+Equations!$C$9*H32+Equations!$C$10*G32^2+Equations!$C$11*G32*I32+Equations!$C$12*G32*H32+Equations!$C$13*I32^2+Equations!$C$14*I32*H32+Equations!$C$15*H32^2)</f>
        <v>0.1640719538</v>
      </c>
      <c r="M32" s="60">
        <f t="shared" si="0"/>
        <v>7.1953799999996404E-5</v>
      </c>
      <c r="N32" s="58">
        <v>0.62</v>
      </c>
      <c r="O32" s="58">
        <v>0.63900000000000001</v>
      </c>
      <c r="P32" s="59">
        <f>MAX(0.01,Equations!$D$6+Equations!$D$7*G32+Equations!$D$8*I32+Equations!$D$10*G32^2+Equations!$D$11*G32*I32+Equations!$D$13*I32^2)</f>
        <v>0.63945923749999978</v>
      </c>
      <c r="Q32" s="60">
        <f t="shared" si="1"/>
        <v>4.5923749999976504E-4</v>
      </c>
    </row>
    <row r="33" spans="1:18" x14ac:dyDescent="0.25">
      <c r="A33" s="57">
        <v>29</v>
      </c>
      <c r="B33" s="57" t="s">
        <v>225</v>
      </c>
      <c r="C33" s="57" t="s">
        <v>220</v>
      </c>
      <c r="D33" s="57">
        <v>2</v>
      </c>
      <c r="E33" s="57">
        <v>6</v>
      </c>
      <c r="F33" s="57">
        <v>4.9000000000000004</v>
      </c>
      <c r="G33" s="58">
        <v>0.36799999999999999</v>
      </c>
      <c r="H33" s="58">
        <v>1.2250000000000001</v>
      </c>
      <c r="I33" s="58">
        <v>3</v>
      </c>
      <c r="J33" s="58">
        <v>1.41</v>
      </c>
      <c r="K33" s="58">
        <v>0.42899999999999999</v>
      </c>
      <c r="L33" s="59">
        <f>MAX(0.01,Equations!$C$6+Equations!$C$7*G33+Equations!$C$8*I33+Equations!$C$9*H33+Equations!$C$10*G33^2+Equations!$C$11*G33*I33+Equations!$C$12*G33*H33+Equations!$C$13*I33^2+Equations!$C$14*I33*H33+Equations!$C$15*H33^2)</f>
        <v>0.42852358389999995</v>
      </c>
      <c r="M33" s="60">
        <f t="shared" si="0"/>
        <v>-4.7641610000004331E-4</v>
      </c>
      <c r="N33" s="57" t="s">
        <v>227</v>
      </c>
      <c r="O33" s="58">
        <v>0.91800000000000004</v>
      </c>
      <c r="P33" s="59">
        <f>MAX(0.01,Equations!$D$6+Equations!$D$7*G33+Equations!$D$8*I33+Equations!$D$10*G33^2+Equations!$D$11*G33*I33+Equations!$D$13*I33^2)</f>
        <v>0.91678339199999981</v>
      </c>
      <c r="Q33" s="60">
        <f t="shared" si="1"/>
        <v>-1.2166080000002299E-3</v>
      </c>
    </row>
    <row r="34" spans="1:18" x14ac:dyDescent="0.25">
      <c r="A34" s="57">
        <v>30</v>
      </c>
      <c r="B34" s="57" t="s">
        <v>225</v>
      </c>
      <c r="C34" s="57" t="s">
        <v>220</v>
      </c>
      <c r="D34" s="57">
        <v>5</v>
      </c>
      <c r="E34" s="57">
        <v>15</v>
      </c>
      <c r="F34" s="57">
        <v>7.7</v>
      </c>
      <c r="G34" s="58">
        <v>0.46200000000000002</v>
      </c>
      <c r="H34" s="58">
        <v>1.9359999999999999</v>
      </c>
      <c r="I34" s="58">
        <v>3</v>
      </c>
      <c r="J34" s="58">
        <v>0.2</v>
      </c>
      <c r="K34" s="58">
        <v>0.28799999999999998</v>
      </c>
      <c r="L34" s="59">
        <f>MAX(0.01,Equations!$C$6+Equations!$C$7*G34+Equations!$C$8*I34+Equations!$C$9*H34+Equations!$C$10*G34^2+Equations!$C$11*G34*I34+Equations!$C$12*G34*H34+Equations!$C$13*I34^2+Equations!$C$14*I34*H34+Equations!$C$15*H34^2)</f>
        <v>0.28804230159999977</v>
      </c>
      <c r="M34" s="60">
        <f t="shared" si="0"/>
        <v>4.2301599999794437E-5</v>
      </c>
      <c r="N34" s="58">
        <v>1.34</v>
      </c>
      <c r="O34" s="58">
        <v>0.78300000000000003</v>
      </c>
      <c r="P34" s="59">
        <f>MAX(0.01,Equations!$D$6+Equations!$D$7*G34+Equations!$D$8*I34+Equations!$D$10*G34^2+Equations!$D$11*G34*I34+Equations!$D$13*I34^2)</f>
        <v>0.78286770199999989</v>
      </c>
      <c r="Q34" s="60">
        <f t="shared" si="1"/>
        <v>-1.3229800000014169E-4</v>
      </c>
    </row>
    <row r="35" spans="1:18" x14ac:dyDescent="0.25">
      <c r="A35" s="57">
        <v>31</v>
      </c>
      <c r="B35" s="57" t="s">
        <v>225</v>
      </c>
      <c r="C35" s="57" t="s">
        <v>220</v>
      </c>
      <c r="D35" s="57">
        <v>9</v>
      </c>
      <c r="E35" s="57">
        <v>27</v>
      </c>
      <c r="F35" s="57">
        <v>10.4</v>
      </c>
      <c r="G35" s="58">
        <v>0.53500000000000003</v>
      </c>
      <c r="H35" s="58">
        <v>2.5979999999999999</v>
      </c>
      <c r="I35" s="58">
        <v>2.5</v>
      </c>
      <c r="J35" s="58">
        <v>0.12</v>
      </c>
      <c r="K35" s="58">
        <v>0.17899999999999999</v>
      </c>
      <c r="L35" s="59">
        <f>MAX(0.01,Equations!$C$6+Equations!$C$7*G35+Equations!$C$8*I35+Equations!$C$9*H35+Equations!$C$10*G35^2+Equations!$C$11*G35*I35+Equations!$C$12*G35*H35+Equations!$C$13*I35^2+Equations!$C$14*I35*H35+Equations!$C$15*H35^2)</f>
        <v>0.1640719538</v>
      </c>
      <c r="M35" s="60">
        <f t="shared" si="0"/>
        <v>-1.4928046199999989E-2</v>
      </c>
      <c r="N35" s="58">
        <v>0.71</v>
      </c>
      <c r="O35" s="58">
        <v>0.69099999999999995</v>
      </c>
      <c r="P35" s="59">
        <f>MAX(0.01,Equations!$D$6+Equations!$D$7*G35+Equations!$D$8*I35+Equations!$D$10*G35^2+Equations!$D$11*G35*I35+Equations!$D$13*I35^2)</f>
        <v>0.63945923749999978</v>
      </c>
      <c r="Q35" s="60">
        <f t="shared" si="1"/>
        <v>-5.154076250000017E-2</v>
      </c>
      <c r="R35" s="61" t="s">
        <v>228</v>
      </c>
    </row>
    <row r="36" spans="1:18" x14ac:dyDescent="0.25">
      <c r="A36" s="57">
        <v>32</v>
      </c>
      <c r="B36" s="57" t="s">
        <v>229</v>
      </c>
      <c r="C36" s="57" t="s">
        <v>223</v>
      </c>
      <c r="D36" s="57">
        <v>2</v>
      </c>
      <c r="E36" s="57">
        <v>8</v>
      </c>
      <c r="F36" s="57">
        <v>5.7</v>
      </c>
      <c r="G36" s="58">
        <v>0.39500000000000002</v>
      </c>
      <c r="H36" s="58">
        <v>1.4139999999999999</v>
      </c>
      <c r="I36" s="58">
        <v>3</v>
      </c>
      <c r="J36" s="58">
        <v>0.15</v>
      </c>
      <c r="K36" s="58">
        <v>0.23300000000000001</v>
      </c>
      <c r="L36" s="59">
        <f>MAX(0.01,Equations!$C$6+Equations!$C$7*G36+Equations!$C$8*I36+Equations!$C$9*H36+Equations!$C$10*G36^2+Equations!$C$11*G36*I36+Equations!$C$12*G36*H36+Equations!$C$13*I36^2+Equations!$C$14*I36*H36+Equations!$C$15*H36^2)</f>
        <v>0.38823485620000009</v>
      </c>
      <c r="M36" s="60">
        <f t="shared" si="0"/>
        <v>0.15523485620000008</v>
      </c>
      <c r="N36" s="58">
        <v>0.36</v>
      </c>
      <c r="O36" s="58">
        <v>0.63800000000000001</v>
      </c>
      <c r="P36" s="59">
        <f>MAX(0.01,Equations!$D$6+Equations!$D$7*G36+Equations!$D$8*I36+Equations!$D$10*G36^2+Equations!$D$11*G36*I36+Equations!$D$13*I36^2)</f>
        <v>0.87651738750000019</v>
      </c>
      <c r="Q36" s="60">
        <f t="shared" si="1"/>
        <v>0.23851738750000018</v>
      </c>
      <c r="R36" s="61" t="s">
        <v>230</v>
      </c>
    </row>
    <row r="37" spans="1:18" x14ac:dyDescent="0.25">
      <c r="A37" s="57">
        <v>33</v>
      </c>
      <c r="B37" s="57" t="s">
        <v>231</v>
      </c>
      <c r="C37" s="57" t="s">
        <v>232</v>
      </c>
      <c r="D37" s="57">
        <v>2</v>
      </c>
      <c r="E37" s="57">
        <v>6</v>
      </c>
      <c r="F37" s="57">
        <v>4.9000000000000004</v>
      </c>
      <c r="G37" s="58">
        <v>0.36799999999999999</v>
      </c>
      <c r="H37" s="58">
        <v>1.2250000000000001</v>
      </c>
      <c r="I37" s="58">
        <v>4.43</v>
      </c>
      <c r="J37" s="58">
        <v>0.75</v>
      </c>
      <c r="K37" s="58">
        <v>0.53600000000000003</v>
      </c>
      <c r="L37" s="59">
        <f>MAX(0.01,Equations!$C$6+Equations!$C$7*G37+Equations!$C$8*I37+Equations!$C$9*H37+Equations!$C$10*G37^2+Equations!$C$11*G37*I37+Equations!$C$12*G37*H37+Equations!$C$13*I37^2+Equations!$C$14*I37*H37+Equations!$C$15*H37^2)</f>
        <v>0.53483178590000002</v>
      </c>
      <c r="M37" s="60">
        <f t="shared" ref="M37:M68" si="2">L37-K37</f>
        <v>-1.168214100000009E-3</v>
      </c>
      <c r="N37" s="58">
        <v>1.25</v>
      </c>
      <c r="O37" s="58">
        <v>1.077</v>
      </c>
      <c r="P37" s="59">
        <f>MAX(0.01,Equations!$D$6+Equations!$D$7*G37+Equations!$D$8*I37+Equations!$D$10*G37^2+Equations!$D$11*G37*I37+Equations!$D$13*I37^2)</f>
        <v>1.0761054119999998</v>
      </c>
      <c r="Q37" s="60">
        <f t="shared" ref="Q37:Q68" si="3">P37-O37</f>
        <v>-8.94588000000196E-4</v>
      </c>
    </row>
    <row r="38" spans="1:18" x14ac:dyDescent="0.25">
      <c r="A38" s="57">
        <v>34</v>
      </c>
      <c r="B38" s="57" t="s">
        <v>231</v>
      </c>
      <c r="C38" s="57" t="s">
        <v>232</v>
      </c>
      <c r="D38" s="57">
        <v>4</v>
      </c>
      <c r="E38" s="57">
        <v>12</v>
      </c>
      <c r="F38" s="57">
        <v>4.9000000000000004</v>
      </c>
      <c r="G38" s="58">
        <v>0.437</v>
      </c>
      <c r="H38" s="58">
        <v>1.732</v>
      </c>
      <c r="I38" s="58">
        <v>3.25</v>
      </c>
      <c r="J38" s="58">
        <v>0.7</v>
      </c>
      <c r="K38" s="58">
        <v>0.34100000000000003</v>
      </c>
      <c r="L38" s="59">
        <f>MAX(0.01,Equations!$C$6+Equations!$C$7*G38+Equations!$C$8*I38+Equations!$C$9*H38+Equations!$C$10*G38^2+Equations!$C$11*G38*I38+Equations!$C$12*G38*H38+Equations!$C$13*I38^2+Equations!$C$14*I38*H38+Equations!$C$15*H38^2)</f>
        <v>0.3401548902</v>
      </c>
      <c r="M38" s="60">
        <f t="shared" si="2"/>
        <v>-8.4510980000002123E-4</v>
      </c>
      <c r="N38" s="58">
        <v>1.2</v>
      </c>
      <c r="O38" s="58">
        <v>0.84399999999999997</v>
      </c>
      <c r="P38" s="59">
        <f>MAX(0.01,Equations!$D$6+Equations!$D$7*G38+Equations!$D$8*I38+Equations!$D$10*G38^2+Equations!$D$11*G38*I38+Equations!$D$13*I38^2)</f>
        <v>0.84404721449999998</v>
      </c>
      <c r="Q38" s="60">
        <f t="shared" si="3"/>
        <v>4.721450000000349E-5</v>
      </c>
    </row>
    <row r="39" spans="1:18" x14ac:dyDescent="0.25">
      <c r="A39" s="57">
        <v>35</v>
      </c>
      <c r="B39" s="57" t="s">
        <v>231</v>
      </c>
      <c r="C39" s="57" t="s">
        <v>232</v>
      </c>
      <c r="D39" s="57">
        <v>8</v>
      </c>
      <c r="E39" s="57">
        <v>24</v>
      </c>
      <c r="F39" s="57">
        <v>9.8000000000000007</v>
      </c>
      <c r="G39" s="58">
        <v>0.52</v>
      </c>
      <c r="H39" s="58">
        <v>2.4489999999999998</v>
      </c>
      <c r="I39" s="58">
        <v>6.75</v>
      </c>
      <c r="J39" s="58">
        <v>0.4</v>
      </c>
      <c r="K39" s="58">
        <v>0.28999999999999998</v>
      </c>
      <c r="L39" s="59">
        <f>MAX(0.01,Equations!$C$6+Equations!$C$7*G39+Equations!$C$8*I39+Equations!$C$9*H39+Equations!$C$10*G39^2+Equations!$C$11*G39*I39+Equations!$C$12*G39*H39+Equations!$C$13*I39^2+Equations!$C$14*I39*H39+Equations!$C$15*H39^2)</f>
        <v>0.28748249469999992</v>
      </c>
      <c r="M39" s="60">
        <f t="shared" si="2"/>
        <v>-2.5175053000000558E-3</v>
      </c>
      <c r="N39" s="58">
        <v>0.7</v>
      </c>
      <c r="O39" s="58">
        <v>1.054</v>
      </c>
      <c r="P39" s="59">
        <f>MAX(0.01,Equations!$D$6+Equations!$D$7*G39+Equations!$D$8*I39+Equations!$D$10*G39^2+Equations!$D$11*G39*I39+Equations!$D$13*I39^2)</f>
        <v>1.0525526999999999</v>
      </c>
      <c r="Q39" s="60">
        <f t="shared" si="3"/>
        <v>-1.4473000000001512E-3</v>
      </c>
    </row>
    <row r="40" spans="1:18" x14ac:dyDescent="0.25">
      <c r="A40" s="57">
        <v>36</v>
      </c>
      <c r="B40" s="57" t="s">
        <v>231</v>
      </c>
      <c r="C40" s="57" t="s">
        <v>232</v>
      </c>
      <c r="D40" s="57">
        <v>12</v>
      </c>
      <c r="E40" s="57">
        <v>36</v>
      </c>
      <c r="F40" s="57">
        <v>12</v>
      </c>
      <c r="G40" s="58">
        <v>0.57499999999999996</v>
      </c>
      <c r="H40" s="58">
        <v>3</v>
      </c>
      <c r="I40" s="58">
        <v>12.93</v>
      </c>
      <c r="J40" s="58">
        <v>0.25</v>
      </c>
      <c r="K40" s="58">
        <v>0.01</v>
      </c>
      <c r="L40" s="59">
        <f>MAX(0.01,Equations!$C$6+Equations!$C$7*G40+Equations!$C$8*I40+Equations!$C$9*H40+Equations!$C$10*G40^2+Equations!$C$11*G40*I40+Equations!$C$12*G40*H40+Equations!$C$13*I40^2+Equations!$C$14*I40*H40+Equations!$C$15*H40^2)</f>
        <v>0.01</v>
      </c>
      <c r="M40" s="60">
        <f t="shared" si="2"/>
        <v>0</v>
      </c>
      <c r="N40" s="58">
        <v>0.4</v>
      </c>
      <c r="O40" s="58">
        <v>1.3280000000000001</v>
      </c>
      <c r="P40" s="59">
        <f>MAX(0.01,Equations!$D$6+Equations!$D$7*G40+Equations!$D$8*I40+Equations!$D$10*G40^2+Equations!$D$11*G40*I40+Equations!$D$13*I40^2)</f>
        <v>1.3246051124999996</v>
      </c>
      <c r="Q40" s="60">
        <f t="shared" si="3"/>
        <v>-3.3948875000004985E-3</v>
      </c>
    </row>
    <row r="41" spans="1:18" x14ac:dyDescent="0.25">
      <c r="A41" s="57">
        <v>37</v>
      </c>
      <c r="B41" s="57" t="s">
        <v>233</v>
      </c>
      <c r="C41" s="57" t="s">
        <v>234</v>
      </c>
      <c r="D41" s="57">
        <v>2</v>
      </c>
      <c r="E41" s="57">
        <v>4.3</v>
      </c>
      <c r="F41" s="57">
        <v>4.0999999999999996</v>
      </c>
      <c r="G41" s="58">
        <v>0.33800000000000002</v>
      </c>
      <c r="H41" s="58">
        <v>1.0369999999999999</v>
      </c>
      <c r="I41" s="58">
        <v>1</v>
      </c>
      <c r="J41" s="58">
        <v>0.33600000000000002</v>
      </c>
      <c r="K41" s="58">
        <v>0.28799999999999998</v>
      </c>
      <c r="L41" s="59">
        <f>MAX(0.01,Equations!$C$6+Equations!$C$7*G41+Equations!$C$8*I41+Equations!$C$9*H41+Equations!$C$10*G41^2+Equations!$C$11*G41*I41+Equations!$C$12*G41*H41+Equations!$C$13*I41^2+Equations!$C$14*I41*H41+Equations!$C$15*H41^2)</f>
        <v>0.28797848870000003</v>
      </c>
      <c r="M41" s="60">
        <f t="shared" si="2"/>
        <v>-2.151129999994339E-5</v>
      </c>
      <c r="N41" s="58">
        <v>0.28999999999999998</v>
      </c>
      <c r="O41" s="58">
        <v>0.71399999999999997</v>
      </c>
      <c r="P41" s="59">
        <f>MAX(0.01,Equations!$D$6+Equations!$D$7*G41+Equations!$D$8*I41+Equations!$D$10*G41^2+Equations!$D$11*G41*I41+Equations!$D$13*I41^2)</f>
        <v>0.71474770199999982</v>
      </c>
      <c r="Q41" s="60">
        <f t="shared" si="3"/>
        <v>7.4770199999985021E-4</v>
      </c>
    </row>
    <row r="42" spans="1:18" x14ac:dyDescent="0.25">
      <c r="A42" s="57">
        <v>38</v>
      </c>
      <c r="B42" s="57" t="s">
        <v>233</v>
      </c>
      <c r="C42" s="57" t="s">
        <v>234</v>
      </c>
      <c r="D42" s="57">
        <v>2</v>
      </c>
      <c r="E42" s="57">
        <v>4.3</v>
      </c>
      <c r="F42" s="57">
        <v>4.0999999999999996</v>
      </c>
      <c r="G42" s="58">
        <v>0.33800000000000002</v>
      </c>
      <c r="H42" s="58">
        <v>1.0369999999999999</v>
      </c>
      <c r="I42" s="58">
        <v>1</v>
      </c>
      <c r="J42" s="58">
        <v>0.27900000000000003</v>
      </c>
      <c r="K42" s="58">
        <v>0.28799999999999998</v>
      </c>
      <c r="L42" s="59">
        <f>MAX(0.01,Equations!$C$6+Equations!$C$7*G42+Equations!$C$8*I42+Equations!$C$9*H42+Equations!$C$10*G42^2+Equations!$C$11*G42*I42+Equations!$C$12*G42*H42+Equations!$C$13*I42^2+Equations!$C$14*I42*H42+Equations!$C$15*H42^2)</f>
        <v>0.28797848870000003</v>
      </c>
      <c r="M42" s="60">
        <f t="shared" si="2"/>
        <v>-2.151129999994339E-5</v>
      </c>
      <c r="N42" s="58">
        <v>0.66</v>
      </c>
      <c r="O42" s="58">
        <v>0.71399999999999997</v>
      </c>
      <c r="P42" s="59">
        <f>MAX(0.01,Equations!$D$6+Equations!$D$7*G42+Equations!$D$8*I42+Equations!$D$10*G42^2+Equations!$D$11*G42*I42+Equations!$D$13*I42^2)</f>
        <v>0.71474770199999982</v>
      </c>
      <c r="Q42" s="60">
        <f t="shared" si="3"/>
        <v>7.4770199999985021E-4</v>
      </c>
    </row>
    <row r="43" spans="1:18" x14ac:dyDescent="0.25">
      <c r="A43" s="57">
        <v>39</v>
      </c>
      <c r="B43" s="57" t="s">
        <v>233</v>
      </c>
      <c r="C43" s="57" t="s">
        <v>234</v>
      </c>
      <c r="D43" s="57">
        <v>2</v>
      </c>
      <c r="E43" s="57">
        <v>4.3</v>
      </c>
      <c r="F43" s="57">
        <v>4.0999999999999996</v>
      </c>
      <c r="G43" s="58">
        <v>0.33800000000000002</v>
      </c>
      <c r="H43" s="58">
        <v>1.0369999999999999</v>
      </c>
      <c r="I43" s="58">
        <v>1</v>
      </c>
      <c r="J43" s="58">
        <v>0.38</v>
      </c>
      <c r="K43" s="58">
        <v>0.28799999999999998</v>
      </c>
      <c r="L43" s="59">
        <f>MAX(0.01,Equations!$C$6+Equations!$C$7*G43+Equations!$C$8*I43+Equations!$C$9*H43+Equations!$C$10*G43^2+Equations!$C$11*G43*I43+Equations!$C$12*G43*H43+Equations!$C$13*I43^2+Equations!$C$14*I43*H43+Equations!$C$15*H43^2)</f>
        <v>0.28797848870000003</v>
      </c>
      <c r="M43" s="60">
        <f t="shared" si="2"/>
        <v>-2.151129999994339E-5</v>
      </c>
      <c r="N43" s="57" t="s">
        <v>227</v>
      </c>
      <c r="O43" s="58">
        <v>0.71399999999999997</v>
      </c>
      <c r="P43" s="59">
        <f>MAX(0.01,Equations!$D$6+Equations!$D$7*G43+Equations!$D$8*I43+Equations!$D$10*G43^2+Equations!$D$11*G43*I43+Equations!$D$13*I43^2)</f>
        <v>0.71474770199999982</v>
      </c>
      <c r="Q43" s="60">
        <f t="shared" si="3"/>
        <v>7.4770199999985021E-4</v>
      </c>
    </row>
    <row r="44" spans="1:18" x14ac:dyDescent="0.25">
      <c r="A44" s="57">
        <v>40</v>
      </c>
      <c r="B44" s="57" t="s">
        <v>233</v>
      </c>
      <c r="C44" s="57" t="s">
        <v>234</v>
      </c>
      <c r="D44" s="57">
        <v>2</v>
      </c>
      <c r="E44" s="57">
        <v>4.3</v>
      </c>
      <c r="F44" s="57">
        <v>4.0999999999999996</v>
      </c>
      <c r="G44" s="58">
        <v>0.33800000000000002</v>
      </c>
      <c r="H44" s="58">
        <v>1.0369999999999999</v>
      </c>
      <c r="I44" s="58">
        <v>1</v>
      </c>
      <c r="J44" s="58">
        <v>0.34</v>
      </c>
      <c r="K44" s="58">
        <v>0.28799999999999998</v>
      </c>
      <c r="L44" s="59">
        <f>MAX(0.01,Equations!$C$6+Equations!$C$7*G44+Equations!$C$8*I44+Equations!$C$9*H44+Equations!$C$10*G44^2+Equations!$C$11*G44*I44+Equations!$C$12*G44*H44+Equations!$C$13*I44^2+Equations!$C$14*I44*H44+Equations!$C$15*H44^2)</f>
        <v>0.28797848870000003</v>
      </c>
      <c r="M44" s="60">
        <f t="shared" si="2"/>
        <v>-2.151129999994339E-5</v>
      </c>
      <c r="N44" s="58">
        <v>0.27</v>
      </c>
      <c r="O44" s="58">
        <v>0.71399999999999997</v>
      </c>
      <c r="P44" s="59">
        <f>MAX(0.01,Equations!$D$6+Equations!$D$7*G44+Equations!$D$8*I44+Equations!$D$10*G44^2+Equations!$D$11*G44*I44+Equations!$D$13*I44^2)</f>
        <v>0.71474770199999982</v>
      </c>
      <c r="Q44" s="60">
        <f t="shared" si="3"/>
        <v>7.4770199999985021E-4</v>
      </c>
    </row>
    <row r="45" spans="1:18" x14ac:dyDescent="0.25">
      <c r="A45" s="57">
        <v>41</v>
      </c>
      <c r="B45" s="57" t="s">
        <v>233</v>
      </c>
      <c r="C45" s="57" t="s">
        <v>234</v>
      </c>
      <c r="D45" s="57">
        <v>2</v>
      </c>
      <c r="E45" s="57">
        <v>4.3</v>
      </c>
      <c r="F45" s="57">
        <v>4.0999999999999996</v>
      </c>
      <c r="G45" s="58">
        <v>0.33800000000000002</v>
      </c>
      <c r="H45" s="58">
        <v>1.0369999999999999</v>
      </c>
      <c r="I45" s="58">
        <v>1</v>
      </c>
      <c r="J45" s="58">
        <v>0.35299999999999998</v>
      </c>
      <c r="K45" s="58">
        <v>0.28799999999999998</v>
      </c>
      <c r="L45" s="59">
        <f>MAX(0.01,Equations!$C$6+Equations!$C$7*G45+Equations!$C$8*I45+Equations!$C$9*H45+Equations!$C$10*G45^2+Equations!$C$11*G45*I45+Equations!$C$12*G45*H45+Equations!$C$13*I45^2+Equations!$C$14*I45*H45+Equations!$C$15*H45^2)</f>
        <v>0.28797848870000003</v>
      </c>
      <c r="M45" s="60">
        <f t="shared" si="2"/>
        <v>-2.151129999994339E-5</v>
      </c>
      <c r="N45" s="58">
        <v>0.31</v>
      </c>
      <c r="O45" s="58">
        <v>0.71399999999999997</v>
      </c>
      <c r="P45" s="59">
        <f>MAX(0.01,Equations!$D$6+Equations!$D$7*G45+Equations!$D$8*I45+Equations!$D$10*G45^2+Equations!$D$11*G45*I45+Equations!$D$13*I45^2)</f>
        <v>0.71474770199999982</v>
      </c>
      <c r="Q45" s="60">
        <f t="shared" si="3"/>
        <v>7.4770199999985021E-4</v>
      </c>
    </row>
    <row r="46" spans="1:18" x14ac:dyDescent="0.25">
      <c r="A46" s="57">
        <v>42</v>
      </c>
      <c r="B46" s="57" t="s">
        <v>233</v>
      </c>
      <c r="C46" s="57" t="s">
        <v>234</v>
      </c>
      <c r="D46" s="57">
        <v>2</v>
      </c>
      <c r="E46" s="57">
        <v>4.3</v>
      </c>
      <c r="F46" s="57">
        <v>4.0999999999999996</v>
      </c>
      <c r="G46" s="58">
        <v>0.33800000000000002</v>
      </c>
      <c r="H46" s="58">
        <v>1.0369999999999999</v>
      </c>
      <c r="I46" s="58">
        <v>1</v>
      </c>
      <c r="J46" s="58">
        <v>0.28399999999999997</v>
      </c>
      <c r="K46" s="58">
        <v>0.28799999999999998</v>
      </c>
      <c r="L46" s="59">
        <f>MAX(0.01,Equations!$C$6+Equations!$C$7*G46+Equations!$C$8*I46+Equations!$C$9*H46+Equations!$C$10*G46^2+Equations!$C$11*G46*I46+Equations!$C$12*G46*H46+Equations!$C$13*I46^2+Equations!$C$14*I46*H46+Equations!$C$15*H46^2)</f>
        <v>0.28797848870000003</v>
      </c>
      <c r="M46" s="60">
        <f t="shared" si="2"/>
        <v>-2.151129999994339E-5</v>
      </c>
      <c r="N46" s="58">
        <v>0.37</v>
      </c>
      <c r="O46" s="58">
        <v>0.71399999999999997</v>
      </c>
      <c r="P46" s="59">
        <f>MAX(0.01,Equations!$D$6+Equations!$D$7*G46+Equations!$D$8*I46+Equations!$D$10*G46^2+Equations!$D$11*G46*I46+Equations!$D$13*I46^2)</f>
        <v>0.71474770199999982</v>
      </c>
      <c r="Q46" s="60">
        <f t="shared" si="3"/>
        <v>7.4770199999985021E-4</v>
      </c>
    </row>
    <row r="47" spans="1:18" x14ac:dyDescent="0.25">
      <c r="A47" s="57">
        <v>43</v>
      </c>
      <c r="B47" s="57" t="s">
        <v>233</v>
      </c>
      <c r="C47" s="57" t="s">
        <v>234</v>
      </c>
      <c r="D47" s="57">
        <v>2</v>
      </c>
      <c r="E47" s="57">
        <v>4.3</v>
      </c>
      <c r="F47" s="57">
        <v>4.0999999999999996</v>
      </c>
      <c r="G47" s="58">
        <v>0.33800000000000002</v>
      </c>
      <c r="H47" s="58">
        <v>1.0369999999999999</v>
      </c>
      <c r="I47" s="58">
        <v>1</v>
      </c>
      <c r="J47" s="58">
        <v>0.33</v>
      </c>
      <c r="K47" s="58">
        <v>0.28799999999999998</v>
      </c>
      <c r="L47" s="59">
        <f>MAX(0.01,Equations!$C$6+Equations!$C$7*G47+Equations!$C$8*I47+Equations!$C$9*H47+Equations!$C$10*G47^2+Equations!$C$11*G47*I47+Equations!$C$12*G47*H47+Equations!$C$13*I47^2+Equations!$C$14*I47*H47+Equations!$C$15*H47^2)</f>
        <v>0.28797848870000003</v>
      </c>
      <c r="M47" s="60">
        <f t="shared" si="2"/>
        <v>-2.151129999994339E-5</v>
      </c>
      <c r="N47" s="58">
        <v>1.01</v>
      </c>
      <c r="O47" s="58">
        <v>0.71399999999999997</v>
      </c>
      <c r="P47" s="59">
        <f>MAX(0.01,Equations!$D$6+Equations!$D$7*G47+Equations!$D$8*I47+Equations!$D$10*G47^2+Equations!$D$11*G47*I47+Equations!$D$13*I47^2)</f>
        <v>0.71474770199999982</v>
      </c>
      <c r="Q47" s="60">
        <f t="shared" si="3"/>
        <v>7.4770199999985021E-4</v>
      </c>
    </row>
    <row r="48" spans="1:18" x14ac:dyDescent="0.25">
      <c r="A48" s="57">
        <v>44</v>
      </c>
      <c r="B48" s="57" t="s">
        <v>233</v>
      </c>
      <c r="C48" s="57" t="s">
        <v>234</v>
      </c>
      <c r="D48" s="57">
        <v>2</v>
      </c>
      <c r="E48" s="57">
        <v>4.3</v>
      </c>
      <c r="F48" s="57">
        <v>4.0999999999999996</v>
      </c>
      <c r="G48" s="58">
        <v>0.33800000000000002</v>
      </c>
      <c r="H48" s="58">
        <v>1.0369999999999999</v>
      </c>
      <c r="I48" s="58">
        <v>1</v>
      </c>
      <c r="J48" s="58">
        <v>0.247</v>
      </c>
      <c r="K48" s="58">
        <v>0.28799999999999998</v>
      </c>
      <c r="L48" s="59">
        <f>MAX(0.01,Equations!$C$6+Equations!$C$7*G48+Equations!$C$8*I48+Equations!$C$9*H48+Equations!$C$10*G48^2+Equations!$C$11*G48*I48+Equations!$C$12*G48*H48+Equations!$C$13*I48^2+Equations!$C$14*I48*H48+Equations!$C$15*H48^2)</f>
        <v>0.28797848870000003</v>
      </c>
      <c r="M48" s="60">
        <f t="shared" si="2"/>
        <v>-2.151129999994339E-5</v>
      </c>
      <c r="N48" s="58">
        <v>0.36</v>
      </c>
      <c r="O48" s="58">
        <v>0.71399999999999997</v>
      </c>
      <c r="P48" s="59">
        <f>MAX(0.01,Equations!$D$6+Equations!$D$7*G48+Equations!$D$8*I48+Equations!$D$10*G48^2+Equations!$D$11*G48*I48+Equations!$D$13*I48^2)</f>
        <v>0.71474770199999982</v>
      </c>
      <c r="Q48" s="60">
        <f t="shared" si="3"/>
        <v>7.4770199999985021E-4</v>
      </c>
    </row>
    <row r="49" spans="1:17" x14ac:dyDescent="0.25">
      <c r="A49" s="57">
        <v>45</v>
      </c>
      <c r="B49" s="57" t="s">
        <v>233</v>
      </c>
      <c r="C49" s="57" t="s">
        <v>234</v>
      </c>
      <c r="D49" s="57">
        <v>2</v>
      </c>
      <c r="E49" s="57">
        <v>4.3</v>
      </c>
      <c r="F49" s="57">
        <v>4.0999999999999996</v>
      </c>
      <c r="G49" s="58">
        <v>0.33800000000000002</v>
      </c>
      <c r="H49" s="58">
        <v>1.0369999999999999</v>
      </c>
      <c r="I49" s="58">
        <v>1</v>
      </c>
      <c r="J49" s="58">
        <v>0.40400000000000003</v>
      </c>
      <c r="K49" s="58">
        <v>0.28799999999999998</v>
      </c>
      <c r="L49" s="59">
        <f>MAX(0.01,Equations!$C$6+Equations!$C$7*G49+Equations!$C$8*I49+Equations!$C$9*H49+Equations!$C$10*G49^2+Equations!$C$11*G49*I49+Equations!$C$12*G49*H49+Equations!$C$13*I49^2+Equations!$C$14*I49*H49+Equations!$C$15*H49^2)</f>
        <v>0.28797848870000003</v>
      </c>
      <c r="M49" s="60">
        <f t="shared" si="2"/>
        <v>-2.151129999994339E-5</v>
      </c>
      <c r="N49" s="58">
        <v>1.3</v>
      </c>
      <c r="O49" s="58">
        <v>0.71399999999999997</v>
      </c>
      <c r="P49" s="59">
        <f>MAX(0.01,Equations!$D$6+Equations!$D$7*G49+Equations!$D$8*I49+Equations!$D$10*G49^2+Equations!$D$11*G49*I49+Equations!$D$13*I49^2)</f>
        <v>0.71474770199999982</v>
      </c>
      <c r="Q49" s="60">
        <f t="shared" si="3"/>
        <v>7.4770199999985021E-4</v>
      </c>
    </row>
    <row r="50" spans="1:17" x14ac:dyDescent="0.25">
      <c r="A50" s="57">
        <v>46</v>
      </c>
      <c r="B50" s="57" t="s">
        <v>233</v>
      </c>
      <c r="C50" s="57" t="s">
        <v>234</v>
      </c>
      <c r="D50" s="57">
        <v>2</v>
      </c>
      <c r="E50" s="57">
        <v>4.3</v>
      </c>
      <c r="F50" s="57">
        <v>4.0999999999999996</v>
      </c>
      <c r="G50" s="58">
        <v>0.33800000000000002</v>
      </c>
      <c r="H50" s="58">
        <v>1.0369999999999999</v>
      </c>
      <c r="I50" s="58">
        <v>1</v>
      </c>
      <c r="J50" s="58">
        <v>0.33</v>
      </c>
      <c r="K50" s="58">
        <v>0.28799999999999998</v>
      </c>
      <c r="L50" s="59">
        <f>MAX(0.01,Equations!$C$6+Equations!$C$7*G50+Equations!$C$8*I50+Equations!$C$9*H50+Equations!$C$10*G50^2+Equations!$C$11*G50*I50+Equations!$C$12*G50*H50+Equations!$C$13*I50^2+Equations!$C$14*I50*H50+Equations!$C$15*H50^2)</f>
        <v>0.28797848870000003</v>
      </c>
      <c r="M50" s="60">
        <f t="shared" si="2"/>
        <v>-2.151129999994339E-5</v>
      </c>
      <c r="N50" s="58">
        <v>0.6</v>
      </c>
      <c r="O50" s="58">
        <v>0.71399999999999997</v>
      </c>
      <c r="P50" s="59">
        <f>MAX(0.01,Equations!$D$6+Equations!$D$7*G50+Equations!$D$8*I50+Equations!$D$10*G50^2+Equations!$D$11*G50*I50+Equations!$D$13*I50^2)</f>
        <v>0.71474770199999982</v>
      </c>
      <c r="Q50" s="60">
        <f t="shared" si="3"/>
        <v>7.4770199999985021E-4</v>
      </c>
    </row>
    <row r="51" spans="1:17" x14ac:dyDescent="0.25">
      <c r="A51" s="57">
        <v>47</v>
      </c>
      <c r="B51" s="57" t="s">
        <v>233</v>
      </c>
      <c r="C51" s="57" t="s">
        <v>234</v>
      </c>
      <c r="D51" s="57">
        <v>2</v>
      </c>
      <c r="E51" s="57">
        <v>4.3</v>
      </c>
      <c r="F51" s="57">
        <v>4.0999999999999996</v>
      </c>
      <c r="G51" s="58">
        <v>0.33800000000000002</v>
      </c>
      <c r="H51" s="58">
        <v>1.0369999999999999</v>
      </c>
      <c r="I51" s="58">
        <v>1</v>
      </c>
      <c r="J51" s="58">
        <v>0.114</v>
      </c>
      <c r="K51" s="58">
        <v>0.28799999999999998</v>
      </c>
      <c r="L51" s="59">
        <f>MAX(0.01,Equations!$C$6+Equations!$C$7*G51+Equations!$C$8*I51+Equations!$C$9*H51+Equations!$C$10*G51^2+Equations!$C$11*G51*I51+Equations!$C$12*G51*H51+Equations!$C$13*I51^2+Equations!$C$14*I51*H51+Equations!$C$15*H51^2)</f>
        <v>0.28797848870000003</v>
      </c>
      <c r="M51" s="60">
        <f t="shared" si="2"/>
        <v>-2.151129999994339E-5</v>
      </c>
      <c r="N51" s="58">
        <v>3.75</v>
      </c>
      <c r="O51" s="58">
        <v>0.71399999999999997</v>
      </c>
      <c r="P51" s="59">
        <f>MAX(0.01,Equations!$D$6+Equations!$D$7*G51+Equations!$D$8*I51+Equations!$D$10*G51^2+Equations!$D$11*G51*I51+Equations!$D$13*I51^2)</f>
        <v>0.71474770199999982</v>
      </c>
      <c r="Q51" s="60">
        <f t="shared" si="3"/>
        <v>7.4770199999985021E-4</v>
      </c>
    </row>
    <row r="52" spans="1:17" x14ac:dyDescent="0.25">
      <c r="A52" s="57">
        <v>48</v>
      </c>
      <c r="B52" s="57" t="s">
        <v>235</v>
      </c>
      <c r="C52" s="57" t="s">
        <v>232</v>
      </c>
      <c r="D52" s="57">
        <v>10</v>
      </c>
      <c r="E52" s="57">
        <v>30</v>
      </c>
      <c r="F52" s="57">
        <v>11</v>
      </c>
      <c r="G52" s="58">
        <v>0.55000000000000004</v>
      </c>
      <c r="H52" s="58">
        <v>2.7389999999999999</v>
      </c>
      <c r="I52" s="58">
        <v>2.5</v>
      </c>
      <c r="J52" s="58">
        <v>7.3999999999999996E-2</v>
      </c>
      <c r="K52" s="58">
        <v>0.14499999999999999</v>
      </c>
      <c r="L52" s="59">
        <f>MAX(0.01,Equations!$C$6+Equations!$C$7*G52+Equations!$C$8*I52+Equations!$C$9*H52+Equations!$C$10*G52^2+Equations!$C$11*G52*I52+Equations!$C$12*G52*H52+Equations!$C$13*I52^2+Equations!$C$14*I52*H52+Equations!$C$15*H52^2)</f>
        <v>0.14508146869999997</v>
      </c>
      <c r="M52" s="60">
        <f t="shared" si="2"/>
        <v>8.1468699999975858E-5</v>
      </c>
      <c r="N52" s="58">
        <v>0.39100000000000001</v>
      </c>
      <c r="O52" s="58">
        <v>0.623</v>
      </c>
      <c r="P52" s="59">
        <f>MAX(0.01,Equations!$D$6+Equations!$D$7*G52+Equations!$D$8*I52+Equations!$D$10*G52^2+Equations!$D$11*G52*I52+Equations!$D$13*I52^2)</f>
        <v>0.62253125000000009</v>
      </c>
      <c r="Q52" s="60">
        <f t="shared" si="3"/>
        <v>-4.6874999999990674E-4</v>
      </c>
    </row>
    <row r="53" spans="1:17" x14ac:dyDescent="0.25">
      <c r="A53" s="57">
        <v>49</v>
      </c>
      <c r="B53" s="57" t="s">
        <v>236</v>
      </c>
      <c r="C53" s="57" t="s">
        <v>232</v>
      </c>
      <c r="D53" s="57">
        <v>6</v>
      </c>
      <c r="E53" s="57">
        <v>18</v>
      </c>
      <c r="F53" s="57">
        <v>8.5</v>
      </c>
      <c r="G53" s="58">
        <v>0.48399999999999999</v>
      </c>
      <c r="H53" s="58">
        <v>1.7669999999999999</v>
      </c>
      <c r="I53" s="58">
        <v>4</v>
      </c>
      <c r="J53" s="58">
        <v>0.24199999999999999</v>
      </c>
      <c r="K53" s="58">
        <v>0.34399999999999997</v>
      </c>
      <c r="L53" s="59">
        <f>MAX(0.01,Equations!$C$6+Equations!$C$7*G53+Equations!$C$8*I53+Equations!$C$9*H53+Equations!$C$10*G53^2+Equations!$C$11*G53*I53+Equations!$C$12*G53*H53+Equations!$C$13*I53^2+Equations!$C$14*I53*H53+Equations!$C$15*H53^2)</f>
        <v>0.34246828789999989</v>
      </c>
      <c r="M53" s="60">
        <f t="shared" si="2"/>
        <v>-1.5317121000000822E-3</v>
      </c>
      <c r="N53" s="58">
        <v>0.35299999999999998</v>
      </c>
      <c r="O53" s="58">
        <v>0.85799999999999998</v>
      </c>
      <c r="P53" s="59">
        <f>MAX(0.01,Equations!$D$6+Equations!$D$7*G53+Equations!$D$8*I53+Equations!$D$10*G53^2+Equations!$D$11*G53*I53+Equations!$D$13*I53^2)</f>
        <v>0.85696824800000004</v>
      </c>
      <c r="Q53" s="60">
        <f t="shared" si="3"/>
        <v>-1.0317519999999414E-3</v>
      </c>
    </row>
    <row r="54" spans="1:17" x14ac:dyDescent="0.25">
      <c r="A54" s="57">
        <v>50</v>
      </c>
      <c r="B54" s="57" t="s">
        <v>236</v>
      </c>
      <c r="C54" s="57" t="s">
        <v>232</v>
      </c>
      <c r="D54" s="57">
        <v>8</v>
      </c>
      <c r="E54" s="57">
        <v>24</v>
      </c>
      <c r="F54" s="57">
        <v>9.5</v>
      </c>
      <c r="G54" s="58">
        <v>0.52</v>
      </c>
      <c r="H54" s="58">
        <v>2.1429999999999998</v>
      </c>
      <c r="I54" s="58">
        <v>5</v>
      </c>
      <c r="J54" s="58">
        <v>0.25900000000000001</v>
      </c>
      <c r="K54" s="58">
        <v>0.30399999999999999</v>
      </c>
      <c r="L54" s="59">
        <f>MAX(0.01,Equations!$C$6+Equations!$C$7*G54+Equations!$C$8*I54+Equations!$C$9*H54+Equations!$C$10*G54^2+Equations!$C$11*G54*I54+Equations!$C$12*G54*H54+Equations!$C$13*I54^2+Equations!$C$14*I54*H54+Equations!$C$15*H54^2)</f>
        <v>0.30266491030000009</v>
      </c>
      <c r="M54" s="60">
        <f t="shared" si="2"/>
        <v>-1.3350896999999029E-3</v>
      </c>
      <c r="N54" s="58">
        <v>0.38300000000000001</v>
      </c>
      <c r="O54" s="58">
        <v>0.90300000000000002</v>
      </c>
      <c r="P54" s="59">
        <f>MAX(0.01,Equations!$D$6+Equations!$D$7*G54+Equations!$D$8*I54+Equations!$D$10*G54^2+Equations!$D$11*G54*I54+Equations!$D$13*I54^2)</f>
        <v>0.90273520000000018</v>
      </c>
      <c r="Q54" s="60">
        <f t="shared" si="3"/>
        <v>-2.6479999999984294E-4</v>
      </c>
    </row>
    <row r="55" spans="1:17" x14ac:dyDescent="0.25">
      <c r="A55" s="57">
        <v>51</v>
      </c>
      <c r="B55" s="57" t="s">
        <v>236</v>
      </c>
      <c r="C55" s="57" t="s">
        <v>232</v>
      </c>
      <c r="D55" s="57">
        <v>10</v>
      </c>
      <c r="E55" s="57">
        <v>30</v>
      </c>
      <c r="F55" s="57">
        <v>11</v>
      </c>
      <c r="G55" s="58">
        <v>0.55000000000000004</v>
      </c>
      <c r="H55" s="58">
        <v>2.7389999999999999</v>
      </c>
      <c r="I55" s="58">
        <v>5</v>
      </c>
      <c r="J55" s="58">
        <v>0.29199999999999998</v>
      </c>
      <c r="K55" s="58">
        <v>0.19500000000000001</v>
      </c>
      <c r="L55" s="59">
        <f>MAX(0.01,Equations!$C$6+Equations!$C$7*G55+Equations!$C$8*I55+Equations!$C$9*H55+Equations!$C$10*G55^2+Equations!$C$11*G55*I55+Equations!$C$12*G55*H55+Equations!$C$13*I55^2+Equations!$C$14*I55*H55+Equations!$C$15*H55^2)</f>
        <v>0.1939829686999999</v>
      </c>
      <c r="M55" s="60">
        <f t="shared" si="2"/>
        <v>-1.0170313000001097E-3</v>
      </c>
      <c r="N55" s="58">
        <v>0.48699999999999999</v>
      </c>
      <c r="O55" s="58">
        <v>0.86299999999999999</v>
      </c>
      <c r="P55" s="59">
        <f>MAX(0.01,Equations!$D$6+Equations!$D$7*G55+Equations!$D$8*I55+Equations!$D$10*G55^2+Equations!$D$11*G55*I55+Equations!$D$13*I55^2)</f>
        <v>0.8620937500000001</v>
      </c>
      <c r="Q55" s="60">
        <f t="shared" si="3"/>
        <v>-9.0624999999988631E-4</v>
      </c>
    </row>
    <row r="56" spans="1:17" x14ac:dyDescent="0.25">
      <c r="A56" s="57">
        <v>52</v>
      </c>
      <c r="B56" s="57" t="s">
        <v>237</v>
      </c>
      <c r="C56" s="57" t="s">
        <v>232</v>
      </c>
      <c r="D56" s="57">
        <v>5</v>
      </c>
      <c r="E56" s="57">
        <v>15</v>
      </c>
      <c r="F56" s="57">
        <v>16.5</v>
      </c>
      <c r="G56" s="58">
        <v>0.46200000000000002</v>
      </c>
      <c r="H56" s="58">
        <v>1.96</v>
      </c>
      <c r="I56" s="58">
        <v>4.3999999999999997E-2</v>
      </c>
      <c r="J56" s="58">
        <v>6.1800000000000001E-2</v>
      </c>
      <c r="K56" s="58">
        <v>0.107</v>
      </c>
      <c r="L56" s="59">
        <f>MAX(0.01,Equations!$C$6+Equations!$C$7*G56+Equations!$C$8*I56+Equations!$C$9*H56+Equations!$C$10*G56^2+Equations!$C$11*G56*I56+Equations!$C$12*G56*H56+Equations!$C$13*I56^2+Equations!$C$14*I56*H56+Equations!$C$15*H56^2)</f>
        <v>0.1068635208</v>
      </c>
      <c r="M56" s="60">
        <f t="shared" si="2"/>
        <v>-1.3647919999999758E-4</v>
      </c>
      <c r="N56" s="58">
        <v>0.19500000000000001</v>
      </c>
      <c r="O56" s="58">
        <v>0.43780000000000002</v>
      </c>
      <c r="P56" s="59">
        <f>MAX(0.01,Equations!$D$6+Equations!$D$7*G56+Equations!$D$8*I56+Equations!$D$10*G56^2+Equations!$D$11*G56*I56+Equations!$D$13*I56^2)</f>
        <v>0.43811237800000008</v>
      </c>
      <c r="Q56" s="60">
        <f t="shared" si="3"/>
        <v>3.1237800000005755E-4</v>
      </c>
    </row>
    <row r="57" spans="1:17" x14ac:dyDescent="0.25">
      <c r="A57" s="57">
        <v>53</v>
      </c>
      <c r="B57" s="57" t="s">
        <v>237</v>
      </c>
      <c r="C57" s="57" t="s">
        <v>232</v>
      </c>
      <c r="D57" s="57">
        <v>5</v>
      </c>
      <c r="E57" s="57">
        <v>15</v>
      </c>
      <c r="F57" s="57">
        <v>16.5</v>
      </c>
      <c r="G57" s="58">
        <v>0.46200000000000002</v>
      </c>
      <c r="H57" s="58">
        <v>1.96</v>
      </c>
      <c r="I57" s="58">
        <v>4.3999999999999997E-2</v>
      </c>
      <c r="J57" s="58">
        <v>0.12189999999999999</v>
      </c>
      <c r="K57" s="58">
        <v>0.107</v>
      </c>
      <c r="L57" s="59">
        <f>MAX(0.01,Equations!$C$6+Equations!$C$7*G57+Equations!$C$8*I57+Equations!$C$9*H57+Equations!$C$10*G57^2+Equations!$C$11*G57*I57+Equations!$C$12*G57*H57+Equations!$C$13*I57^2+Equations!$C$14*I57*H57+Equations!$C$15*H57^2)</f>
        <v>0.1068635208</v>
      </c>
      <c r="M57" s="60">
        <f t="shared" si="2"/>
        <v>-1.3647919999999758E-4</v>
      </c>
      <c r="N57" s="58">
        <v>0.31319999999999998</v>
      </c>
      <c r="O57" s="58">
        <v>0.43780000000000002</v>
      </c>
      <c r="P57" s="59">
        <f>MAX(0.01,Equations!$D$6+Equations!$D$7*G57+Equations!$D$8*I57+Equations!$D$10*G57^2+Equations!$D$11*G57*I57+Equations!$D$13*I57^2)</f>
        <v>0.43811237800000008</v>
      </c>
      <c r="Q57" s="60">
        <f t="shared" si="3"/>
        <v>3.1237800000005755E-4</v>
      </c>
    </row>
    <row r="58" spans="1:17" x14ac:dyDescent="0.25">
      <c r="A58" s="57">
        <v>54</v>
      </c>
      <c r="B58" s="57" t="s">
        <v>237</v>
      </c>
      <c r="C58" s="57" t="s">
        <v>232</v>
      </c>
      <c r="D58" s="57">
        <v>5</v>
      </c>
      <c r="E58" s="57">
        <v>15</v>
      </c>
      <c r="F58" s="57">
        <v>16.5</v>
      </c>
      <c r="G58" s="58">
        <v>0.46200000000000002</v>
      </c>
      <c r="H58" s="58">
        <v>1.96</v>
      </c>
      <c r="I58" s="58">
        <v>4.3999999999999997E-2</v>
      </c>
      <c r="J58" s="58">
        <v>7.2300000000000003E-2</v>
      </c>
      <c r="K58" s="58">
        <v>0.107</v>
      </c>
      <c r="L58" s="59">
        <f>MAX(0.01,Equations!$C$6+Equations!$C$7*G58+Equations!$C$8*I58+Equations!$C$9*H58+Equations!$C$10*G58^2+Equations!$C$11*G58*I58+Equations!$C$12*G58*H58+Equations!$C$13*I58^2+Equations!$C$14*I58*H58+Equations!$C$15*H58^2)</f>
        <v>0.1068635208</v>
      </c>
      <c r="M58" s="60">
        <f t="shared" si="2"/>
        <v>-1.3647919999999758E-4</v>
      </c>
      <c r="N58" s="58">
        <v>0.15740000000000001</v>
      </c>
      <c r="O58" s="58">
        <v>0.43780000000000002</v>
      </c>
      <c r="P58" s="59">
        <f>MAX(0.01,Equations!$D$6+Equations!$D$7*G58+Equations!$D$8*I58+Equations!$D$10*G58^2+Equations!$D$11*G58*I58+Equations!$D$13*I58^2)</f>
        <v>0.43811237800000008</v>
      </c>
      <c r="Q58" s="60">
        <f t="shared" si="3"/>
        <v>3.1237800000005755E-4</v>
      </c>
    </row>
    <row r="59" spans="1:17" x14ac:dyDescent="0.25">
      <c r="A59" s="57">
        <v>55</v>
      </c>
      <c r="B59" s="57" t="s">
        <v>237</v>
      </c>
      <c r="C59" s="57" t="s">
        <v>232</v>
      </c>
      <c r="D59" s="57">
        <v>5</v>
      </c>
      <c r="E59" s="57">
        <v>15</v>
      </c>
      <c r="F59" s="57">
        <v>16.5</v>
      </c>
      <c r="G59" s="58">
        <v>0.46200000000000002</v>
      </c>
      <c r="H59" s="58">
        <v>1.96</v>
      </c>
      <c r="I59" s="58">
        <v>4.3999999999999997E-2</v>
      </c>
      <c r="J59" s="58">
        <v>0.14269999999999999</v>
      </c>
      <c r="K59" s="58">
        <v>0.107</v>
      </c>
      <c r="L59" s="59">
        <f>MAX(0.01,Equations!$C$6+Equations!$C$7*G59+Equations!$C$8*I59+Equations!$C$9*H59+Equations!$C$10*G59^2+Equations!$C$11*G59*I59+Equations!$C$12*G59*H59+Equations!$C$13*I59^2+Equations!$C$14*I59*H59+Equations!$C$15*H59^2)</f>
        <v>0.1068635208</v>
      </c>
      <c r="M59" s="60">
        <f t="shared" si="2"/>
        <v>-1.3647919999999758E-4</v>
      </c>
      <c r="N59" s="58">
        <v>0.28539999999999999</v>
      </c>
      <c r="O59" s="58">
        <v>0.43780000000000002</v>
      </c>
      <c r="P59" s="59">
        <f>MAX(0.01,Equations!$D$6+Equations!$D$7*G59+Equations!$D$8*I59+Equations!$D$10*G59^2+Equations!$D$11*G59*I59+Equations!$D$13*I59^2)</f>
        <v>0.43811237800000008</v>
      </c>
      <c r="Q59" s="60">
        <f t="shared" si="3"/>
        <v>3.1237800000005755E-4</v>
      </c>
    </row>
    <row r="60" spans="1:17" x14ac:dyDescent="0.25">
      <c r="A60" s="57">
        <v>56</v>
      </c>
      <c r="B60" s="57" t="s">
        <v>237</v>
      </c>
      <c r="C60" s="57" t="s">
        <v>232</v>
      </c>
      <c r="D60" s="57">
        <v>5</v>
      </c>
      <c r="E60" s="57">
        <v>15</v>
      </c>
      <c r="F60" s="57">
        <v>16.5</v>
      </c>
      <c r="G60" s="58">
        <v>0.46200000000000002</v>
      </c>
      <c r="H60" s="58">
        <v>1.96</v>
      </c>
      <c r="I60" s="58">
        <v>4.3999999999999997E-2</v>
      </c>
      <c r="J60" s="58">
        <v>6.0400000000000002E-2</v>
      </c>
      <c r="K60" s="58">
        <v>0.107</v>
      </c>
      <c r="L60" s="59">
        <f>MAX(0.01,Equations!$C$6+Equations!$C$7*G60+Equations!$C$8*I60+Equations!$C$9*H60+Equations!$C$10*G60^2+Equations!$C$11*G60*I60+Equations!$C$12*G60*H60+Equations!$C$13*I60^2+Equations!$C$14*I60*H60+Equations!$C$15*H60^2)</f>
        <v>0.1068635208</v>
      </c>
      <c r="M60" s="60">
        <f t="shared" si="2"/>
        <v>-1.3647919999999758E-4</v>
      </c>
      <c r="N60" s="58">
        <v>0.1057</v>
      </c>
      <c r="O60" s="58">
        <v>0.43780000000000002</v>
      </c>
      <c r="P60" s="59">
        <f>MAX(0.01,Equations!$D$6+Equations!$D$7*G60+Equations!$D$8*I60+Equations!$D$10*G60^2+Equations!$D$11*G60*I60+Equations!$D$13*I60^2)</f>
        <v>0.43811237800000008</v>
      </c>
      <c r="Q60" s="60">
        <f t="shared" si="3"/>
        <v>3.1237800000005755E-4</v>
      </c>
    </row>
    <row r="61" spans="1:17" x14ac:dyDescent="0.25">
      <c r="A61" s="57">
        <v>57</v>
      </c>
      <c r="B61" s="57" t="s">
        <v>237</v>
      </c>
      <c r="C61" s="57" t="s">
        <v>232</v>
      </c>
      <c r="D61" s="57">
        <v>5</v>
      </c>
      <c r="E61" s="57">
        <v>15</v>
      </c>
      <c r="F61" s="57">
        <v>16.5</v>
      </c>
      <c r="G61" s="58">
        <v>0.46200000000000002</v>
      </c>
      <c r="H61" s="58">
        <v>1.96</v>
      </c>
      <c r="I61" s="58">
        <v>4.3999999999999997E-2</v>
      </c>
      <c r="J61" s="58">
        <v>0.1057</v>
      </c>
      <c r="K61" s="58">
        <v>0.107</v>
      </c>
      <c r="L61" s="59">
        <f>MAX(0.01,Equations!$C$6+Equations!$C$7*G61+Equations!$C$8*I61+Equations!$C$9*H61+Equations!$C$10*G61^2+Equations!$C$11*G61*I61+Equations!$C$12*G61*H61+Equations!$C$13*I61^2+Equations!$C$14*I61*H61+Equations!$C$15*H61^2)</f>
        <v>0.1068635208</v>
      </c>
      <c r="M61" s="60">
        <f t="shared" si="2"/>
        <v>-1.3647919999999758E-4</v>
      </c>
      <c r="N61" s="58">
        <v>0.15709999999999999</v>
      </c>
      <c r="O61" s="58">
        <v>0.43780000000000002</v>
      </c>
      <c r="P61" s="59">
        <f>MAX(0.01,Equations!$D$6+Equations!$D$7*G61+Equations!$D$8*I61+Equations!$D$10*G61^2+Equations!$D$11*G61*I61+Equations!$D$13*I61^2)</f>
        <v>0.43811237800000008</v>
      </c>
      <c r="Q61" s="60">
        <f t="shared" si="3"/>
        <v>3.1237800000005755E-4</v>
      </c>
    </row>
    <row r="62" spans="1:17" x14ac:dyDescent="0.25">
      <c r="A62" s="57">
        <v>58</v>
      </c>
      <c r="B62" s="57" t="s">
        <v>237</v>
      </c>
      <c r="C62" s="57" t="s">
        <v>232</v>
      </c>
      <c r="D62" s="57">
        <v>10</v>
      </c>
      <c r="E62" s="57">
        <v>30</v>
      </c>
      <c r="F62" s="57">
        <v>16.5</v>
      </c>
      <c r="G62" s="58">
        <v>0.55000000000000004</v>
      </c>
      <c r="H62" s="58">
        <v>2.73</v>
      </c>
      <c r="I62" s="58">
        <v>4.3999999999999997E-2</v>
      </c>
      <c r="J62" s="58">
        <v>0.1087</v>
      </c>
      <c r="K62" s="58">
        <v>0.06</v>
      </c>
      <c r="L62" s="59">
        <f>MAX(0.01,Equations!$C$6+Equations!$C$7*G62+Equations!$C$8*I62+Equations!$C$9*H62+Equations!$C$10*G62^2+Equations!$C$11*G62*I62+Equations!$C$12*G62*H62+Equations!$C$13*I62^2+Equations!$C$14*I62*H62+Equations!$C$15*H62^2)</f>
        <v>6.0694729999999981E-2</v>
      </c>
      <c r="M62" s="60">
        <f t="shared" si="2"/>
        <v>6.9472999999998369E-4</v>
      </c>
      <c r="N62" s="58">
        <v>0.32600000000000001</v>
      </c>
      <c r="O62" s="58">
        <v>0.35089999999999999</v>
      </c>
      <c r="P62" s="59">
        <f>MAX(0.01,Equations!$D$6+Equations!$D$7*G62+Equations!$D$8*I62+Equations!$D$10*G62^2+Equations!$D$11*G62*I62+Equations!$D$13*I62^2)</f>
        <v>0.35066924200000005</v>
      </c>
      <c r="Q62" s="60">
        <f t="shared" si="3"/>
        <v>-2.3075799999994207E-4</v>
      </c>
    </row>
    <row r="63" spans="1:17" x14ac:dyDescent="0.25">
      <c r="A63" s="57">
        <v>59</v>
      </c>
      <c r="B63" s="57" t="s">
        <v>237</v>
      </c>
      <c r="C63" s="57" t="s">
        <v>232</v>
      </c>
      <c r="D63" s="57">
        <v>10</v>
      </c>
      <c r="E63" s="57">
        <v>30</v>
      </c>
      <c r="F63" s="57">
        <v>16.5</v>
      </c>
      <c r="G63" s="58">
        <v>0.55000000000000004</v>
      </c>
      <c r="H63" s="58">
        <v>2.73</v>
      </c>
      <c r="I63" s="58">
        <v>4.3999999999999997E-2</v>
      </c>
      <c r="J63" s="58">
        <v>0.13750000000000001</v>
      </c>
      <c r="K63" s="58">
        <v>0.06</v>
      </c>
      <c r="L63" s="59">
        <f>MAX(0.01,Equations!$C$6+Equations!$C$7*G63+Equations!$C$8*I63+Equations!$C$9*H63+Equations!$C$10*G63^2+Equations!$C$11*G63*I63+Equations!$C$12*G63*H63+Equations!$C$13*I63^2+Equations!$C$14*I63*H63+Equations!$C$15*H63^2)</f>
        <v>6.0694729999999981E-2</v>
      </c>
      <c r="M63" s="60">
        <f t="shared" si="2"/>
        <v>6.9472999999998369E-4</v>
      </c>
      <c r="N63" s="58">
        <v>0.45290000000000002</v>
      </c>
      <c r="O63" s="58">
        <v>0.35089999999999999</v>
      </c>
      <c r="P63" s="59">
        <f>MAX(0.01,Equations!$D$6+Equations!$D$7*G63+Equations!$D$8*I63+Equations!$D$10*G63^2+Equations!$D$11*G63*I63+Equations!$D$13*I63^2)</f>
        <v>0.35066924200000005</v>
      </c>
      <c r="Q63" s="60">
        <f t="shared" si="3"/>
        <v>-2.3075799999994207E-4</v>
      </c>
    </row>
    <row r="64" spans="1:17" x14ac:dyDescent="0.25">
      <c r="A64" s="57">
        <v>60</v>
      </c>
      <c r="B64" s="57" t="s">
        <v>237</v>
      </c>
      <c r="C64" s="57" t="s">
        <v>232</v>
      </c>
      <c r="D64" s="57">
        <v>10</v>
      </c>
      <c r="E64" s="57">
        <v>30</v>
      </c>
      <c r="F64" s="57">
        <v>16.5</v>
      </c>
      <c r="G64" s="58">
        <v>0.55000000000000004</v>
      </c>
      <c r="H64" s="58">
        <v>2.73</v>
      </c>
      <c r="I64" s="58">
        <v>4.3999999999999997E-2</v>
      </c>
      <c r="J64" s="58">
        <v>9.0800000000000006E-2</v>
      </c>
      <c r="K64" s="58">
        <v>0.06</v>
      </c>
      <c r="L64" s="59">
        <f>MAX(0.01,Equations!$C$6+Equations!$C$7*G64+Equations!$C$8*I64+Equations!$C$9*H64+Equations!$C$10*G64^2+Equations!$C$11*G64*I64+Equations!$C$12*G64*H64+Equations!$C$13*I64^2+Equations!$C$14*I64*H64+Equations!$C$15*H64^2)</f>
        <v>6.0694729999999981E-2</v>
      </c>
      <c r="M64" s="60">
        <f t="shared" si="2"/>
        <v>6.9472999999998369E-4</v>
      </c>
      <c r="N64" s="58">
        <v>0.36309999999999998</v>
      </c>
      <c r="O64" s="58">
        <v>0.35089999999999999</v>
      </c>
      <c r="P64" s="59">
        <f>MAX(0.01,Equations!$D$6+Equations!$D$7*G64+Equations!$D$8*I64+Equations!$D$10*G64^2+Equations!$D$11*G64*I64+Equations!$D$13*I64^2)</f>
        <v>0.35066924200000005</v>
      </c>
      <c r="Q64" s="60">
        <f t="shared" si="3"/>
        <v>-2.3075799999994207E-4</v>
      </c>
    </row>
    <row r="65" spans="1:17" x14ac:dyDescent="0.25">
      <c r="A65" s="57">
        <v>61</v>
      </c>
      <c r="B65" s="57" t="s">
        <v>237</v>
      </c>
      <c r="C65" s="57" t="s">
        <v>232</v>
      </c>
      <c r="D65" s="57">
        <v>10</v>
      </c>
      <c r="E65" s="57">
        <v>30</v>
      </c>
      <c r="F65" s="57">
        <v>16.5</v>
      </c>
      <c r="G65" s="58">
        <v>0.55000000000000004</v>
      </c>
      <c r="H65" s="58">
        <v>2.73</v>
      </c>
      <c r="I65" s="58">
        <v>4.3999999999999997E-2</v>
      </c>
      <c r="J65" s="58">
        <v>0.12659999999999999</v>
      </c>
      <c r="K65" s="58">
        <v>0.06</v>
      </c>
      <c r="L65" s="59">
        <f>MAX(0.01,Equations!$C$6+Equations!$C$7*G65+Equations!$C$8*I65+Equations!$C$9*H65+Equations!$C$10*G65^2+Equations!$C$11*G65*I65+Equations!$C$12*G65*H65+Equations!$C$13*I65^2+Equations!$C$14*I65*H65+Equations!$C$15*H65^2)</f>
        <v>6.0694729999999981E-2</v>
      </c>
      <c r="M65" s="60">
        <f t="shared" si="2"/>
        <v>6.9472999999998369E-4</v>
      </c>
      <c r="N65" s="58">
        <v>0.33750000000000002</v>
      </c>
      <c r="O65" s="58">
        <v>0.35089999999999999</v>
      </c>
      <c r="P65" s="59">
        <f>MAX(0.01,Equations!$D$6+Equations!$D$7*G65+Equations!$D$8*I65+Equations!$D$10*G65^2+Equations!$D$11*G65*I65+Equations!$D$13*I65^2)</f>
        <v>0.35066924200000005</v>
      </c>
      <c r="Q65" s="60">
        <f t="shared" si="3"/>
        <v>-2.3075799999994207E-4</v>
      </c>
    </row>
    <row r="66" spans="1:17" x14ac:dyDescent="0.25">
      <c r="A66" s="57">
        <v>62</v>
      </c>
      <c r="B66" s="57" t="s">
        <v>237</v>
      </c>
      <c r="C66" s="57" t="s">
        <v>232</v>
      </c>
      <c r="D66" s="57">
        <v>10</v>
      </c>
      <c r="E66" s="57">
        <v>30</v>
      </c>
      <c r="F66" s="57">
        <v>16.5</v>
      </c>
      <c r="G66" s="58">
        <v>0.55000000000000004</v>
      </c>
      <c r="H66" s="58">
        <v>2.73</v>
      </c>
      <c r="I66" s="58">
        <v>4.3999999999999997E-2</v>
      </c>
      <c r="J66" s="58">
        <v>5.8599999999999999E-2</v>
      </c>
      <c r="K66" s="58">
        <v>0.06</v>
      </c>
      <c r="L66" s="59">
        <f>MAX(0.01,Equations!$C$6+Equations!$C$7*G66+Equations!$C$8*I66+Equations!$C$9*H66+Equations!$C$10*G66^2+Equations!$C$11*G66*I66+Equations!$C$12*G66*H66+Equations!$C$13*I66^2+Equations!$C$14*I66*H66+Equations!$C$15*H66^2)</f>
        <v>6.0694729999999981E-2</v>
      </c>
      <c r="M66" s="60">
        <f t="shared" si="2"/>
        <v>6.9472999999998369E-4</v>
      </c>
      <c r="N66" s="58">
        <v>0.1384</v>
      </c>
      <c r="O66" s="58">
        <v>0.35089999999999999</v>
      </c>
      <c r="P66" s="59">
        <f>MAX(0.01,Equations!$D$6+Equations!$D$7*G66+Equations!$D$8*I66+Equations!$D$10*G66^2+Equations!$D$11*G66*I66+Equations!$D$13*I66^2)</f>
        <v>0.35066924200000005</v>
      </c>
      <c r="Q66" s="60">
        <f t="shared" si="3"/>
        <v>-2.3075799999994207E-4</v>
      </c>
    </row>
    <row r="67" spans="1:17" x14ac:dyDescent="0.25">
      <c r="A67" s="57">
        <v>63</v>
      </c>
      <c r="B67" s="57" t="s">
        <v>237</v>
      </c>
      <c r="C67" s="57" t="s">
        <v>232</v>
      </c>
      <c r="D67" s="57">
        <v>10</v>
      </c>
      <c r="E67" s="57">
        <v>30</v>
      </c>
      <c r="F67" s="57">
        <v>16.5</v>
      </c>
      <c r="G67" s="58">
        <v>0.55000000000000004</v>
      </c>
      <c r="H67" s="58">
        <v>2.73</v>
      </c>
      <c r="I67" s="58">
        <v>4.3999999999999997E-2</v>
      </c>
      <c r="J67" s="58">
        <v>9.4299999999999995E-2</v>
      </c>
      <c r="K67" s="58">
        <v>0.06</v>
      </c>
      <c r="L67" s="59">
        <f>MAX(0.01,Equations!$C$6+Equations!$C$7*G67+Equations!$C$8*I67+Equations!$C$9*H67+Equations!$C$10*G67^2+Equations!$C$11*G67*I67+Equations!$C$12*G67*H67+Equations!$C$13*I67^2+Equations!$C$14*I67*H67+Equations!$C$15*H67^2)</f>
        <v>6.0694729999999981E-2</v>
      </c>
      <c r="M67" s="60">
        <f t="shared" si="2"/>
        <v>6.9472999999998369E-4</v>
      </c>
      <c r="N67" s="58">
        <v>0.25159999999999999</v>
      </c>
      <c r="O67" s="58">
        <v>0.35089999999999999</v>
      </c>
      <c r="P67" s="59">
        <f>MAX(0.01,Equations!$D$6+Equations!$D$7*G67+Equations!$D$8*I67+Equations!$D$10*G67^2+Equations!$D$11*G67*I67+Equations!$D$13*I67^2)</f>
        <v>0.35066924200000005</v>
      </c>
      <c r="Q67" s="60">
        <f t="shared" si="3"/>
        <v>-2.3075799999994207E-4</v>
      </c>
    </row>
    <row r="69" spans="1:17" x14ac:dyDescent="0.25">
      <c r="B69" s="23" t="s">
        <v>238</v>
      </c>
      <c r="M69" s="62">
        <f>MAX(MAX(M5:M67),-MIN(M5:M67))</f>
        <v>0.15523485620000008</v>
      </c>
      <c r="Q69" s="62">
        <f>MAX(MAX(Q5:Q67),-MIN(Q5:Q67))</f>
        <v>0.23851738750000018</v>
      </c>
    </row>
  </sheetData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5"/>
  <sheetViews>
    <sheetView showGridLines="0" tabSelected="1" zoomScaleNormal="100" workbookViewId="0">
      <selection activeCell="C4" sqref="C4"/>
    </sheetView>
  </sheetViews>
  <sheetFormatPr defaultColWidth="8.7109375" defaultRowHeight="15" x14ac:dyDescent="0.25"/>
  <cols>
    <col min="1" max="1" width="2" customWidth="1"/>
    <col min="2" max="2" width="30" customWidth="1"/>
    <col min="3" max="3" width="95" customWidth="1"/>
  </cols>
  <sheetData>
    <row r="1" spans="2:3" ht="16.5" x14ac:dyDescent="0.25">
      <c r="B1" s="70" t="s">
        <v>239</v>
      </c>
      <c r="C1" s="70"/>
    </row>
    <row r="3" spans="2:3" ht="30" customHeight="1" x14ac:dyDescent="0.25">
      <c r="B3" s="63" t="s">
        <v>240</v>
      </c>
      <c r="C3" s="64" t="s">
        <v>241</v>
      </c>
    </row>
    <row r="4" spans="2:3" ht="18" customHeight="1" x14ac:dyDescent="0.25">
      <c r="B4" s="63" t="s">
        <v>242</v>
      </c>
      <c r="C4" s="64" t="s">
        <v>243</v>
      </c>
    </row>
    <row r="5" spans="2:3" ht="30" customHeight="1" x14ac:dyDescent="0.25">
      <c r="B5" s="63" t="s">
        <v>244</v>
      </c>
      <c r="C5" s="64" t="s">
        <v>245</v>
      </c>
    </row>
    <row r="6" spans="2:3" ht="30" customHeight="1" x14ac:dyDescent="0.25">
      <c r="B6" s="63" t="s">
        <v>246</v>
      </c>
      <c r="C6" s="64" t="s">
        <v>247</v>
      </c>
    </row>
    <row r="7" spans="2:3" ht="30" customHeight="1" x14ac:dyDescent="0.25">
      <c r="B7" s="63" t="s">
        <v>248</v>
      </c>
      <c r="C7" s="64" t="s">
        <v>249</v>
      </c>
    </row>
    <row r="8" spans="2:3" ht="30" customHeight="1" x14ac:dyDescent="0.25">
      <c r="B8" s="63" t="s">
        <v>250</v>
      </c>
      <c r="C8" s="64" t="s">
        <v>251</v>
      </c>
    </row>
    <row r="9" spans="2:3" ht="30" customHeight="1" x14ac:dyDescent="0.25">
      <c r="B9" s="63" t="s">
        <v>252</v>
      </c>
      <c r="C9" s="64" t="s">
        <v>253</v>
      </c>
    </row>
    <row r="10" spans="2:3" ht="30" customHeight="1" x14ac:dyDescent="0.25">
      <c r="B10" s="63" t="s">
        <v>254</v>
      </c>
      <c r="C10" s="64" t="s">
        <v>255</v>
      </c>
    </row>
    <row r="11" spans="2:3" ht="30" customHeight="1" x14ac:dyDescent="0.25">
      <c r="B11" s="63" t="s">
        <v>256</v>
      </c>
      <c r="C11" s="64" t="s">
        <v>257</v>
      </c>
    </row>
    <row r="12" spans="2:3" ht="30" customHeight="1" x14ac:dyDescent="0.25">
      <c r="B12" s="63" t="s">
        <v>258</v>
      </c>
      <c r="C12" s="64" t="s">
        <v>259</v>
      </c>
    </row>
    <row r="13" spans="2:3" ht="30" customHeight="1" x14ac:dyDescent="0.25">
      <c r="B13" s="63" t="s">
        <v>260</v>
      </c>
      <c r="C13" s="64" t="s">
        <v>261</v>
      </c>
    </row>
    <row r="14" spans="2:3" ht="18" customHeight="1" x14ac:dyDescent="0.25">
      <c r="B14" s="63" t="s">
        <v>262</v>
      </c>
      <c r="C14" s="64" t="s">
        <v>263</v>
      </c>
    </row>
    <row r="15" spans="2:3" ht="18" customHeight="1" x14ac:dyDescent="0.25">
      <c r="B15" s="63" t="s">
        <v>264</v>
      </c>
      <c r="C15" s="64" t="s">
        <v>265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Calculator</vt:lpstr>
      <vt:lpstr>Equations</vt:lpstr>
      <vt:lpstr>Fragility Data</vt:lpstr>
      <vt:lpstr>Batch</vt:lpstr>
      <vt:lpstr>Verification</vt:lpstr>
      <vt:lpstr>About</vt:lpstr>
      <vt:lpstr>Calculator!Print_Area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OMAIR SHAFIQ</cp:lastModifiedBy>
  <cp:revision>1</cp:revision>
  <dcterms:created xsi:type="dcterms:W3CDTF">2026-10-09T21:00:18Z</dcterms:created>
  <dcterms:modified xsi:type="dcterms:W3CDTF">2026-10-09T21:05:47Z</dcterms:modified>
  <dc:language>en-US</dc:language>
</cp:coreProperties>
</file>