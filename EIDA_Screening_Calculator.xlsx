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PhD\"/>
    </mc:Choice>
  </mc:AlternateContent>
  <xr:revisionPtr revIDLastSave="0" documentId="13_ncr:1_{B8BC6302-127F-4719-852E-F5DE67BE05B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alculator" sheetId="1" r:id="rId1"/>
    <sheet name="Fragility Data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2" l="1"/>
  <c r="E135" i="2"/>
  <c r="D135" i="2"/>
  <c r="C135" i="2"/>
  <c r="B135" i="2"/>
  <c r="F134" i="2"/>
  <c r="E134" i="2"/>
  <c r="D134" i="2"/>
  <c r="C134" i="2"/>
  <c r="B134" i="2"/>
  <c r="F133" i="2"/>
  <c r="E133" i="2"/>
  <c r="D133" i="2"/>
  <c r="C133" i="2"/>
  <c r="B133" i="2"/>
  <c r="F132" i="2"/>
  <c r="E132" i="2"/>
  <c r="D132" i="2"/>
  <c r="C132" i="2"/>
  <c r="B132" i="2"/>
  <c r="F131" i="2"/>
  <c r="E131" i="2"/>
  <c r="D131" i="2"/>
  <c r="C131" i="2"/>
  <c r="B131" i="2"/>
  <c r="F130" i="2"/>
  <c r="E130" i="2"/>
  <c r="D130" i="2"/>
  <c r="C130" i="2"/>
  <c r="B130" i="2"/>
  <c r="F129" i="2"/>
  <c r="E129" i="2"/>
  <c r="D129" i="2"/>
  <c r="C129" i="2"/>
  <c r="B129" i="2"/>
  <c r="F128" i="2"/>
  <c r="E128" i="2"/>
  <c r="D128" i="2"/>
  <c r="C128" i="2"/>
  <c r="B128" i="2"/>
  <c r="F127" i="2"/>
  <c r="E127" i="2"/>
  <c r="D127" i="2"/>
  <c r="C127" i="2"/>
  <c r="B127" i="2"/>
  <c r="F126" i="2"/>
  <c r="E126" i="2"/>
  <c r="D126" i="2"/>
  <c r="C126" i="2"/>
  <c r="B126" i="2"/>
  <c r="F125" i="2"/>
  <c r="E125" i="2"/>
  <c r="D125" i="2"/>
  <c r="C125" i="2"/>
  <c r="B125" i="2"/>
  <c r="F124" i="2"/>
  <c r="E124" i="2"/>
  <c r="D124" i="2"/>
  <c r="C124" i="2"/>
  <c r="B124" i="2"/>
  <c r="F123" i="2"/>
  <c r="E123" i="2"/>
  <c r="D123" i="2"/>
  <c r="C123" i="2"/>
  <c r="B123" i="2"/>
  <c r="F122" i="2"/>
  <c r="E122" i="2"/>
  <c r="D122" i="2"/>
  <c r="C122" i="2"/>
  <c r="B122" i="2"/>
  <c r="F121" i="2"/>
  <c r="E121" i="2"/>
  <c r="D121" i="2"/>
  <c r="C121" i="2"/>
  <c r="B121" i="2"/>
  <c r="F120" i="2"/>
  <c r="E120" i="2"/>
  <c r="D120" i="2"/>
  <c r="C120" i="2"/>
  <c r="B120" i="2"/>
  <c r="F119" i="2"/>
  <c r="E119" i="2"/>
  <c r="D119" i="2"/>
  <c r="C119" i="2"/>
  <c r="B119" i="2"/>
  <c r="F118" i="2"/>
  <c r="E118" i="2"/>
  <c r="D118" i="2"/>
  <c r="C118" i="2"/>
  <c r="B118" i="2"/>
  <c r="F117" i="2"/>
  <c r="E117" i="2"/>
  <c r="D117" i="2"/>
  <c r="C117" i="2"/>
  <c r="B117" i="2"/>
  <c r="F116" i="2"/>
  <c r="E116" i="2"/>
  <c r="D116" i="2"/>
  <c r="C116" i="2"/>
  <c r="B116" i="2"/>
  <c r="F115" i="2"/>
  <c r="E115" i="2"/>
  <c r="D115" i="2"/>
  <c r="C115" i="2"/>
  <c r="B115" i="2"/>
  <c r="F114" i="2"/>
  <c r="E114" i="2"/>
  <c r="D114" i="2"/>
  <c r="C114" i="2"/>
  <c r="B114" i="2"/>
  <c r="F113" i="2"/>
  <c r="E113" i="2"/>
  <c r="D113" i="2"/>
  <c r="C113" i="2"/>
  <c r="B113" i="2"/>
  <c r="F112" i="2"/>
  <c r="E112" i="2"/>
  <c r="D112" i="2"/>
  <c r="C112" i="2"/>
  <c r="B112" i="2"/>
  <c r="F111" i="2"/>
  <c r="E111" i="2"/>
  <c r="D111" i="2"/>
  <c r="C111" i="2"/>
  <c r="B111" i="2"/>
  <c r="F110" i="2"/>
  <c r="E110" i="2"/>
  <c r="D110" i="2"/>
  <c r="C110" i="2"/>
  <c r="B110" i="2"/>
  <c r="F109" i="2"/>
  <c r="E109" i="2"/>
  <c r="D109" i="2"/>
  <c r="C109" i="2"/>
  <c r="B109" i="2"/>
  <c r="F108" i="2"/>
  <c r="E108" i="2"/>
  <c r="D108" i="2"/>
  <c r="C108" i="2"/>
  <c r="B108" i="2"/>
  <c r="F107" i="2"/>
  <c r="E107" i="2"/>
  <c r="D107" i="2"/>
  <c r="C107" i="2"/>
  <c r="B107" i="2"/>
  <c r="F106" i="2"/>
  <c r="E106" i="2"/>
  <c r="D106" i="2"/>
  <c r="C106" i="2"/>
  <c r="B106" i="2"/>
  <c r="F105" i="2"/>
  <c r="E105" i="2"/>
  <c r="D105" i="2"/>
  <c r="C105" i="2"/>
  <c r="B105" i="2"/>
  <c r="F104" i="2"/>
  <c r="E104" i="2"/>
  <c r="D104" i="2"/>
  <c r="C104" i="2"/>
  <c r="B104" i="2"/>
  <c r="F103" i="2"/>
  <c r="E103" i="2"/>
  <c r="D103" i="2"/>
  <c r="C103" i="2"/>
  <c r="B103" i="2"/>
  <c r="F102" i="2"/>
  <c r="E102" i="2"/>
  <c r="D102" i="2"/>
  <c r="C102" i="2"/>
  <c r="B102" i="2"/>
  <c r="F101" i="2"/>
  <c r="E101" i="2"/>
  <c r="D101" i="2"/>
  <c r="C101" i="2"/>
  <c r="B101" i="2"/>
  <c r="F100" i="2"/>
  <c r="E100" i="2"/>
  <c r="D100" i="2"/>
  <c r="C100" i="2"/>
  <c r="B100" i="2"/>
  <c r="F99" i="2"/>
  <c r="E99" i="2"/>
  <c r="D99" i="2"/>
  <c r="C99" i="2"/>
  <c r="B99" i="2"/>
  <c r="F98" i="2"/>
  <c r="E98" i="2"/>
  <c r="D98" i="2"/>
  <c r="C98" i="2"/>
  <c r="B98" i="2"/>
  <c r="F97" i="2"/>
  <c r="E97" i="2"/>
  <c r="D97" i="2"/>
  <c r="C97" i="2"/>
  <c r="B97" i="2"/>
  <c r="F96" i="2"/>
  <c r="E96" i="2"/>
  <c r="D96" i="2"/>
  <c r="C96" i="2"/>
  <c r="B96" i="2"/>
  <c r="F95" i="2"/>
  <c r="E95" i="2"/>
  <c r="D95" i="2"/>
  <c r="C95" i="2"/>
  <c r="B95" i="2"/>
  <c r="F94" i="2"/>
  <c r="E94" i="2"/>
  <c r="D94" i="2"/>
  <c r="C94" i="2"/>
  <c r="B94" i="2"/>
  <c r="F93" i="2"/>
  <c r="E93" i="2"/>
  <c r="D93" i="2"/>
  <c r="C93" i="2"/>
  <c r="B93" i="2"/>
  <c r="F92" i="2"/>
  <c r="E92" i="2"/>
  <c r="D92" i="2"/>
  <c r="C92" i="2"/>
  <c r="B92" i="2"/>
  <c r="F91" i="2"/>
  <c r="E91" i="2"/>
  <c r="D91" i="2"/>
  <c r="C91" i="2"/>
  <c r="B91" i="2"/>
  <c r="F90" i="2"/>
  <c r="E90" i="2"/>
  <c r="D90" i="2"/>
  <c r="C90" i="2"/>
  <c r="B90" i="2"/>
  <c r="F89" i="2"/>
  <c r="E89" i="2"/>
  <c r="D89" i="2"/>
  <c r="C89" i="2"/>
  <c r="B89" i="2"/>
  <c r="F88" i="2"/>
  <c r="E88" i="2"/>
  <c r="D88" i="2"/>
  <c r="C88" i="2"/>
  <c r="B88" i="2"/>
  <c r="F87" i="2"/>
  <c r="E87" i="2"/>
  <c r="D87" i="2"/>
  <c r="C87" i="2"/>
  <c r="B87" i="2"/>
  <c r="F86" i="2"/>
  <c r="E86" i="2"/>
  <c r="D86" i="2"/>
  <c r="C86" i="2"/>
  <c r="B86" i="2"/>
  <c r="F85" i="2"/>
  <c r="E85" i="2"/>
  <c r="D85" i="2"/>
  <c r="C85" i="2"/>
  <c r="B85" i="2"/>
  <c r="F84" i="2"/>
  <c r="E84" i="2"/>
  <c r="D84" i="2"/>
  <c r="C84" i="2"/>
  <c r="B84" i="2"/>
  <c r="F83" i="2"/>
  <c r="E83" i="2"/>
  <c r="D83" i="2"/>
  <c r="C83" i="2"/>
  <c r="B83" i="2"/>
  <c r="F82" i="2"/>
  <c r="E82" i="2"/>
  <c r="D82" i="2"/>
  <c r="C82" i="2"/>
  <c r="B82" i="2"/>
  <c r="F81" i="2"/>
  <c r="E81" i="2"/>
  <c r="D81" i="2"/>
  <c r="C81" i="2"/>
  <c r="B81" i="2"/>
  <c r="F80" i="2"/>
  <c r="E80" i="2"/>
  <c r="D80" i="2"/>
  <c r="C80" i="2"/>
  <c r="B80" i="2"/>
  <c r="F79" i="2"/>
  <c r="E79" i="2"/>
  <c r="D79" i="2"/>
  <c r="C79" i="2"/>
  <c r="B79" i="2"/>
  <c r="F78" i="2"/>
  <c r="E78" i="2"/>
  <c r="D78" i="2"/>
  <c r="C78" i="2"/>
  <c r="B78" i="2"/>
  <c r="F77" i="2"/>
  <c r="E77" i="2"/>
  <c r="D77" i="2"/>
  <c r="C77" i="2"/>
  <c r="B77" i="2"/>
  <c r="F76" i="2"/>
  <c r="E76" i="2"/>
  <c r="D76" i="2"/>
  <c r="C76" i="2"/>
  <c r="B76" i="2"/>
  <c r="F75" i="2"/>
  <c r="E75" i="2"/>
  <c r="D75" i="2"/>
  <c r="C75" i="2"/>
  <c r="B75" i="2"/>
  <c r="F74" i="2"/>
  <c r="E74" i="2"/>
  <c r="D74" i="2"/>
  <c r="C74" i="2"/>
  <c r="B74" i="2"/>
  <c r="F73" i="2"/>
  <c r="E73" i="2"/>
  <c r="D73" i="2"/>
  <c r="C73" i="2"/>
  <c r="B73" i="2"/>
  <c r="F72" i="2"/>
  <c r="E72" i="2"/>
  <c r="D72" i="2"/>
  <c r="C72" i="2"/>
  <c r="B72" i="2"/>
  <c r="F71" i="2"/>
  <c r="E71" i="2"/>
  <c r="D71" i="2"/>
  <c r="C71" i="2"/>
  <c r="B71" i="2"/>
  <c r="F70" i="2"/>
  <c r="E70" i="2"/>
  <c r="D70" i="2"/>
  <c r="C70" i="2"/>
  <c r="B70" i="2"/>
  <c r="F69" i="2"/>
  <c r="E69" i="2"/>
  <c r="D69" i="2"/>
  <c r="C69" i="2"/>
  <c r="B69" i="2"/>
  <c r="F68" i="2"/>
  <c r="E68" i="2"/>
  <c r="D68" i="2"/>
  <c r="C68" i="2"/>
  <c r="B68" i="2"/>
  <c r="F67" i="2"/>
  <c r="E67" i="2"/>
  <c r="D67" i="2"/>
  <c r="C67" i="2"/>
  <c r="B67" i="2"/>
  <c r="F66" i="2"/>
  <c r="E66" i="2"/>
  <c r="D66" i="2"/>
  <c r="C66" i="2"/>
  <c r="B66" i="2"/>
  <c r="F65" i="2"/>
  <c r="E65" i="2"/>
  <c r="D65" i="2"/>
  <c r="C65" i="2"/>
  <c r="B65" i="2"/>
  <c r="F64" i="2"/>
  <c r="E64" i="2"/>
  <c r="D64" i="2"/>
  <c r="C64" i="2"/>
  <c r="B64" i="2"/>
  <c r="F63" i="2"/>
  <c r="E63" i="2"/>
  <c r="D63" i="2"/>
  <c r="C63" i="2"/>
  <c r="B63" i="2"/>
  <c r="F62" i="2"/>
  <c r="E62" i="2"/>
  <c r="D62" i="2"/>
  <c r="C62" i="2"/>
  <c r="B62" i="2"/>
  <c r="F61" i="2"/>
  <c r="E61" i="2"/>
  <c r="D61" i="2"/>
  <c r="C61" i="2"/>
  <c r="B61" i="2"/>
  <c r="F60" i="2"/>
  <c r="E60" i="2"/>
  <c r="D60" i="2"/>
  <c r="C60" i="2"/>
  <c r="B60" i="2"/>
  <c r="F59" i="2"/>
  <c r="E59" i="2"/>
  <c r="D59" i="2"/>
  <c r="C59" i="2"/>
  <c r="B59" i="2"/>
  <c r="F58" i="2"/>
  <c r="E58" i="2"/>
  <c r="D58" i="2"/>
  <c r="C58" i="2"/>
  <c r="B58" i="2"/>
  <c r="F57" i="2"/>
  <c r="E57" i="2"/>
  <c r="D57" i="2"/>
  <c r="C57" i="2"/>
  <c r="B57" i="2"/>
  <c r="F56" i="2"/>
  <c r="E56" i="2"/>
  <c r="D56" i="2"/>
  <c r="C56" i="2"/>
  <c r="B56" i="2"/>
  <c r="F55" i="2"/>
  <c r="E55" i="2"/>
  <c r="D55" i="2"/>
  <c r="C55" i="2"/>
  <c r="B55" i="2"/>
  <c r="F54" i="2"/>
  <c r="E54" i="2"/>
  <c r="D54" i="2"/>
  <c r="C54" i="2"/>
  <c r="B54" i="2"/>
  <c r="F53" i="2"/>
  <c r="E53" i="2"/>
  <c r="D53" i="2"/>
  <c r="C53" i="2"/>
  <c r="B53" i="2"/>
  <c r="F52" i="2"/>
  <c r="E52" i="2"/>
  <c r="D52" i="2"/>
  <c r="C52" i="2"/>
  <c r="B52" i="2"/>
  <c r="F51" i="2"/>
  <c r="E51" i="2"/>
  <c r="D51" i="2"/>
  <c r="C51" i="2"/>
  <c r="B51" i="2"/>
  <c r="F50" i="2"/>
  <c r="E50" i="2"/>
  <c r="D50" i="2"/>
  <c r="C50" i="2"/>
  <c r="B50" i="2"/>
  <c r="F49" i="2"/>
  <c r="E49" i="2"/>
  <c r="D49" i="2"/>
  <c r="C49" i="2"/>
  <c r="B49" i="2"/>
  <c r="F48" i="2"/>
  <c r="E48" i="2"/>
  <c r="D48" i="2"/>
  <c r="C48" i="2"/>
  <c r="B48" i="2"/>
  <c r="F47" i="2"/>
  <c r="E47" i="2"/>
  <c r="D47" i="2"/>
  <c r="C47" i="2"/>
  <c r="B47" i="2"/>
  <c r="F46" i="2"/>
  <c r="E46" i="2"/>
  <c r="D46" i="2"/>
  <c r="C46" i="2"/>
  <c r="B46" i="2"/>
  <c r="F45" i="2"/>
  <c r="E45" i="2"/>
  <c r="D45" i="2"/>
  <c r="C45" i="2"/>
  <c r="B45" i="2"/>
  <c r="F44" i="2"/>
  <c r="E44" i="2"/>
  <c r="D44" i="2"/>
  <c r="C44" i="2"/>
  <c r="B44" i="2"/>
  <c r="F43" i="2"/>
  <c r="E43" i="2"/>
  <c r="D43" i="2"/>
  <c r="C43" i="2"/>
  <c r="B43" i="2"/>
  <c r="F42" i="2"/>
  <c r="E42" i="2"/>
  <c r="D42" i="2"/>
  <c r="C42" i="2"/>
  <c r="B42" i="2"/>
  <c r="F41" i="2"/>
  <c r="E41" i="2"/>
  <c r="D41" i="2"/>
  <c r="C41" i="2"/>
  <c r="B41" i="2"/>
  <c r="F40" i="2"/>
  <c r="E40" i="2"/>
  <c r="D40" i="2"/>
  <c r="C40" i="2"/>
  <c r="B40" i="2"/>
  <c r="F39" i="2"/>
  <c r="E39" i="2"/>
  <c r="D39" i="2"/>
  <c r="C39" i="2"/>
  <c r="B39" i="2"/>
  <c r="F38" i="2"/>
  <c r="E38" i="2"/>
  <c r="D38" i="2"/>
  <c r="C38" i="2"/>
  <c r="B38" i="2"/>
  <c r="F37" i="2"/>
  <c r="E37" i="2"/>
  <c r="D37" i="2"/>
  <c r="C37" i="2"/>
  <c r="B37" i="2"/>
  <c r="F36" i="2"/>
  <c r="E36" i="2"/>
  <c r="D36" i="2"/>
  <c r="C36" i="2"/>
  <c r="B36" i="2"/>
  <c r="F35" i="2"/>
  <c r="E35" i="2"/>
  <c r="D35" i="2"/>
  <c r="C35" i="2"/>
  <c r="B35" i="2"/>
  <c r="F34" i="2"/>
  <c r="E34" i="2"/>
  <c r="D34" i="2"/>
  <c r="C34" i="2"/>
  <c r="B34" i="2"/>
  <c r="F33" i="2"/>
  <c r="E33" i="2"/>
  <c r="D33" i="2"/>
  <c r="C33" i="2"/>
  <c r="B33" i="2"/>
  <c r="F32" i="2"/>
  <c r="E32" i="2"/>
  <c r="D32" i="2"/>
  <c r="C32" i="2"/>
  <c r="B32" i="2"/>
  <c r="F31" i="2"/>
  <c r="E31" i="2"/>
  <c r="D31" i="2"/>
  <c r="C31" i="2"/>
  <c r="B31" i="2"/>
  <c r="F30" i="2"/>
  <c r="E30" i="2"/>
  <c r="D30" i="2"/>
  <c r="C30" i="2"/>
  <c r="B30" i="2"/>
  <c r="F29" i="2"/>
  <c r="E29" i="2"/>
  <c r="D29" i="2"/>
  <c r="C29" i="2"/>
  <c r="B29" i="2"/>
  <c r="F28" i="2"/>
  <c r="E28" i="2"/>
  <c r="D28" i="2"/>
  <c r="C28" i="2"/>
  <c r="B28" i="2"/>
  <c r="F27" i="2"/>
  <c r="E27" i="2"/>
  <c r="D27" i="2"/>
  <c r="C27" i="2"/>
  <c r="B27" i="2"/>
  <c r="F26" i="2"/>
  <c r="E26" i="2"/>
  <c r="D26" i="2"/>
  <c r="C26" i="2"/>
  <c r="B26" i="2"/>
  <c r="F25" i="2"/>
  <c r="E25" i="2"/>
  <c r="D25" i="2"/>
  <c r="C25" i="2"/>
  <c r="B25" i="2"/>
  <c r="F24" i="2"/>
  <c r="E24" i="2"/>
  <c r="D24" i="2"/>
  <c r="C24" i="2"/>
  <c r="B24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20" i="2"/>
  <c r="E20" i="2"/>
  <c r="D20" i="2"/>
  <c r="C20" i="2"/>
  <c r="B20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6" i="2"/>
  <c r="E16" i="2"/>
  <c r="D16" i="2"/>
  <c r="C16" i="2"/>
  <c r="B16" i="2"/>
  <c r="F15" i="2"/>
  <c r="E15" i="2"/>
  <c r="D15" i="2"/>
  <c r="C15" i="2"/>
  <c r="B15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F9" i="2"/>
  <c r="E9" i="2"/>
  <c r="D9" i="2"/>
  <c r="C9" i="2"/>
  <c r="B9" i="2"/>
  <c r="F8" i="2"/>
  <c r="E8" i="2"/>
  <c r="D8" i="2"/>
  <c r="C8" i="2"/>
  <c r="B8" i="2"/>
  <c r="F7" i="2"/>
  <c r="E7" i="2"/>
  <c r="D7" i="2"/>
  <c r="C7" i="2"/>
  <c r="B7" i="2"/>
  <c r="F6" i="2"/>
  <c r="E6" i="2"/>
  <c r="D6" i="2"/>
  <c r="C6" i="2"/>
  <c r="B6" i="2"/>
  <c r="F5" i="2"/>
  <c r="E5" i="2"/>
  <c r="D5" i="2"/>
  <c r="C5" i="2"/>
  <c r="B5" i="2"/>
  <c r="F4" i="2"/>
  <c r="E4" i="2"/>
  <c r="D4" i="2"/>
  <c r="C4" i="2"/>
  <c r="B4" i="2"/>
  <c r="F3" i="2"/>
  <c r="E3" i="2"/>
  <c r="D3" i="2"/>
  <c r="C3" i="2"/>
  <c r="B3" i="2"/>
  <c r="F2" i="2"/>
  <c r="E2" i="2"/>
  <c r="D2" i="2"/>
  <c r="C2" i="2"/>
  <c r="B2" i="2"/>
  <c r="B42" i="1"/>
  <c r="D38" i="1"/>
  <c r="D37" i="1"/>
  <c r="D36" i="1"/>
  <c r="D35" i="1"/>
  <c r="D34" i="1"/>
  <c r="D30" i="1"/>
  <c r="G29" i="1"/>
  <c r="D29" i="1"/>
  <c r="G28" i="1"/>
  <c r="D28" i="1"/>
  <c r="G27" i="1"/>
  <c r="D27" i="1"/>
  <c r="G26" i="1"/>
  <c r="G25" i="1"/>
  <c r="G24" i="1"/>
  <c r="I16" i="1"/>
  <c r="G16" i="1"/>
  <c r="I15" i="1"/>
  <c r="G15" i="1"/>
  <c r="I14" i="1"/>
  <c r="G14" i="1"/>
  <c r="D14" i="1"/>
  <c r="G13" i="1"/>
  <c r="H5" i="1"/>
</calcChain>
</file>

<file path=xl/sharedStrings.xml><?xml version="1.0" encoding="utf-8"?>
<sst xmlns="http://schemas.openxmlformats.org/spreadsheetml/2006/main" count="171" uniqueCount="144">
  <si>
    <t>EIDA FRAMEWORK  ·  SEISMIC FRAGILITY SCREENING CALCULATOR</t>
  </si>
  <si>
    <t>RC Grid-Like Bare Frame  ·  Closed-Form Fragility Screening  ·  Inputs, Results and Fragility Curves</t>
  </si>
  <si>
    <t>STEP 00  ·  Project Information</t>
  </si>
  <si>
    <t>Project Name</t>
  </si>
  <si>
    <t>Date Generated</t>
  </si>
  <si>
    <t>Location</t>
  </si>
  <si>
    <t>Input Mode</t>
  </si>
  <si>
    <t>Drawing Parameters</t>
  </si>
  <si>
    <t>Engineer / User</t>
  </si>
  <si>
    <t>Reference</t>
  </si>
  <si>
    <t>Notes</t>
  </si>
  <si>
    <t>STEP 01  ·  Input Parameters from Drawings</t>
  </si>
  <si>
    <t>STEP 02  ·  Computed Macro-Parameters &amp; Domain Check</t>
  </si>
  <si>
    <t>Parameter</t>
  </si>
  <si>
    <t>Symbol</t>
  </si>
  <si>
    <t>Value</t>
  </si>
  <si>
    <t>Unit</t>
  </si>
  <si>
    <t>Macro-Parameter</t>
  </si>
  <si>
    <t>Domain</t>
  </si>
  <si>
    <t>Status</t>
  </si>
  <si>
    <t>Storeys</t>
  </si>
  <si>
    <t>N</t>
  </si>
  <si>
    <t>–</t>
  </si>
  <si>
    <t>EC8 Period, T</t>
  </si>
  <si>
    <t>—</t>
  </si>
  <si>
    <t>Total Height</t>
  </si>
  <si>
    <t>H</t>
  </si>
  <si>
    <t>m</t>
  </si>
  <si>
    <t>Normalised Period, T̄</t>
  </si>
  <si>
    <t>0.174 – 1.486</t>
  </si>
  <si>
    <t>Plan Width</t>
  </si>
  <si>
    <t>W_plan</t>
  </si>
  <si>
    <t>Stiffness Ratio, SR</t>
  </si>
  <si>
    <t>0.004 – 13.053</t>
  </si>
  <si>
    <t>Plan Span</t>
  </si>
  <si>
    <t>S_plan</t>
  </si>
  <si>
    <t>Effective Slenderness, λeff</t>
  </si>
  <si>
    <t>0.125 – 4.839</t>
  </si>
  <si>
    <t>Column Width</t>
  </si>
  <si>
    <t>b_c</t>
  </si>
  <si>
    <t>Column Depth</t>
  </si>
  <si>
    <t>h_c</t>
  </si>
  <si>
    <t>Macro-Parameter Equations</t>
  </si>
  <si>
    <t>Beam Width</t>
  </si>
  <si>
    <t>b_b</t>
  </si>
  <si>
    <t>Normalised Period</t>
  </si>
  <si>
    <t>T = 0.075H^0.75  ;  T̄ = T√(g/H)</t>
  </si>
  <si>
    <t>Beam Depth</t>
  </si>
  <si>
    <t>h_b</t>
  </si>
  <si>
    <t>Stiffness Ratio</t>
  </si>
  <si>
    <t>SR = (bc·hc³ / bb·hb³)·(B/H)³</t>
  </si>
  <si>
    <t>Full-Grid Bays X</t>
  </si>
  <si>
    <t>n_x</t>
  </si>
  <si>
    <t>Effective Slend.</t>
  </si>
  <si>
    <t>λeff = (H/B)·(1−Iv)</t>
  </si>
  <si>
    <t>Full-Grid Bays Y</t>
  </si>
  <si>
    <t>n_y</t>
  </si>
  <si>
    <t>Irregularity</t>
  </si>
  <si>
    <t>Iv = 0 (regular) or ρtop/(N+ρtop)</t>
  </si>
  <si>
    <t>Top Occupied Bays X</t>
  </si>
  <si>
    <t>n_top,x</t>
  </si>
  <si>
    <t>Top Coverage</t>
  </si>
  <si>
    <t>ρtop = (ntop,x × ntop,y) / (nx × ny)</t>
  </si>
  <si>
    <t>Top Occupied Bays Y</t>
  </si>
  <si>
    <t>n_top,y</t>
  </si>
  <si>
    <t>Site PGA</t>
  </si>
  <si>
    <t>a_g</t>
  </si>
  <si>
    <t>g</t>
  </si>
  <si>
    <t>Lognormal Dispersion</t>
  </si>
  <si>
    <t>β</t>
  </si>
  <si>
    <t>Governing Dimension B = min(W,S)</t>
  </si>
  <si>
    <t>B</t>
  </si>
  <si>
    <t>Top Coverage Ratio ρtop</t>
  </si>
  <si>
    <t>ρtop</t>
  </si>
  <si>
    <t>Irregularity Factor Iv</t>
  </si>
  <si>
    <t>Iv</t>
  </si>
  <si>
    <t>Full-Grid Bay Count</t>
  </si>
  <si>
    <t>nx×ny</t>
  </si>
  <si>
    <t>STEP 03  ·  Median PGA Capacity Results</t>
  </si>
  <si>
    <t>DS</t>
  </si>
  <si>
    <t>Meaning</t>
  </si>
  <si>
    <t>μ̂ PGA Capacity (g)</t>
  </si>
  <si>
    <t>R²int</t>
  </si>
  <si>
    <t>R²ext</t>
  </si>
  <si>
    <t>RMSE</t>
  </si>
  <si>
    <t>Use Status</t>
  </si>
  <si>
    <t>DS1</t>
  </si>
  <si>
    <t>Slight Damage</t>
  </si>
  <si>
    <t>0.179 g</t>
  </si>
  <si>
    <t>Recommended</t>
  </si>
  <si>
    <t>DS2</t>
  </si>
  <si>
    <t>Moderate Damage</t>
  </si>
  <si>
    <t>0.597 g</t>
  </si>
  <si>
    <t>Decision Support</t>
  </si>
  <si>
    <t>DS3</t>
  </si>
  <si>
    <t>Extensive Damage</t>
  </si>
  <si>
    <t>0.652 g</t>
  </si>
  <si>
    <t>Trend Only</t>
  </si>
  <si>
    <t>DS4</t>
  </si>
  <si>
    <t>Complete Damage</t>
  </si>
  <si>
    <t>0.970 g</t>
  </si>
  <si>
    <t>Research-Only / Non-Monotonic</t>
  </si>
  <si>
    <t>DS5</t>
  </si>
  <si>
    <t>Collapse</t>
  </si>
  <si>
    <t>3.03 g</t>
  </si>
  <si>
    <t>Research Only</t>
  </si>
  <si>
    <t>STEP 04  ·  Screening Decision</t>
  </si>
  <si>
    <t>LOW RISK (ag &lt; μ̂DS1)</t>
  </si>
  <si>
    <t>MODERATE RISK (μ̂DS1 ≤ ag &lt; μ̂DS2)</t>
  </si>
  <si>
    <t>HIGH RISK (ag ≥ μ̂DS2)</t>
  </si>
  <si>
    <t>Decision Logic: ag &lt; μ̂DS1 → LOW   |   μ̂DS1 ≤ ag &lt; μ̂DS2 → MODERATE   |   ag ≥ μ̂DS2 → HIGH. Higher damage states DS3–DS5 are retained as research context, not screening criteria.</t>
  </si>
  <si>
    <t>STEP 05  ·  Reliability Context &amp; Equation Reference</t>
  </si>
  <si>
    <t>DS1–DS2 support the practical decision rule. DS3 is indicative. DS4–DS5 are research-only and excluded from the default graph. R²int = internal validation (training data); R²ext = hold-out / external validation.</t>
  </si>
  <si>
    <t>Elastic Net / poly2-std</t>
  </si>
  <si>
    <t>μ̂ = 0.4522 − 0.7877T̄ + 0.1619SR − 0.0579λ + 0.4086T̄² − 0.0952T̄·SR + 0.026T̄·λ − 0.003SR² − 0.0246SR·λ + 0.0047λ²</t>
  </si>
  <si>
    <t>LASSO / poly2-std</t>
  </si>
  <si>
    <t>μ̂ = 1.2435 − 1.8232T̄ + 0.1366SR − 0.0959λ + 0.7649T̄² − 0.0655T̄·SR + 0.0856T̄·λ − 0.0021SR² − 0.0164SR·λ</t>
  </si>
  <si>
    <t>Stepwise BIC / poly2-log</t>
  </si>
  <si>
    <t>μ̂ = exp(0.3348 − 0.4548T̄² + 0.1174T̄·SR − 0.2249T̄·λ)</t>
  </si>
  <si>
    <t>OMP / poly3-log</t>
  </si>
  <si>
    <t>μ̂ = exp(0.1868 − 0.0138SR² + 0.1863λ − 0.066T̄·λ² − 0.0361λ³)   ← Non-monotonic caution</t>
  </si>
  <si>
    <t>LASSO / Eng-std</t>
  </si>
  <si>
    <t>μ̂ = 0.5462 + 1.9855√λ + 0.3111T̄·SR − 4.6956T̄·lnT̄ − 0.0693√λ·lnT̄ + 0.731lnT̄² + 1.106lnSR·(λ/T̄) − 0.0368(λ/T̄²)</t>
  </si>
  <si>
    <t>Omair Shafiq · UMPSA · EIDA Framework · STRUCTURES-D-26-04141 under review</t>
  </si>
  <si>
    <t>Yellow cells = user inputs. Grey/blue = formula-driven. Use Drawing Inputs mode: enter structural dimensions and the tool computes macro-parameters internally. DS3–DS5 are retained for research transparency only.</t>
  </si>
  <si>
    <t>PGA (g)</t>
  </si>
  <si>
    <t>DS1 Slight</t>
  </si>
  <si>
    <t>DS2 Moderate</t>
  </si>
  <si>
    <t>DS3 Extensive</t>
  </si>
  <si>
    <t>DS4 Complete</t>
  </si>
  <si>
    <t>DS5 Collapse</t>
  </si>
  <si>
    <t>Default chart DS1–DS3. DS4/DS5 retained for research transparency.</t>
  </si>
  <si>
    <t>Fragility Curves  ·  P(DS≥ds | PGA)  ·  DS1–DS3 Screening View</t>
  </si>
  <si>
    <t>Lognormal fragility curves using P(DS≥ds|PGA) = Φ[ln(PGA/μ̂)/β]. DS4/DS5 data available in Fragility Data sheet for research use.</t>
  </si>
  <si>
    <t>Screening Summary</t>
  </si>
  <si>
    <t>Site PGA (ag)</t>
  </si>
  <si>
    <t>DS1 Median μ̂ (g)</t>
  </si>
  <si>
    <t>DS2 Median μ̂ (g)</t>
  </si>
  <si>
    <t>T̄</t>
  </si>
  <si>
    <t>SR</t>
  </si>
  <si>
    <t>λeff</t>
  </si>
  <si>
    <t>Decision</t>
  </si>
  <si>
    <t>Omair Shafiq . omair.shafiq1998@gmail.com  .  +601127588189</t>
  </si>
  <si>
    <t>Low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</si>
</sst>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sz val="9"/>
      <color rgb="FF374151"/>
      <name val="Arial"/>
      <family val="2"/>
    </font>
    <font>
      <b/>
      <sz val="10"/>
      <color rgb="FF1E3A5F"/>
      <name val="Arial"/>
      <family val="2"/>
    </font>
    <font>
      <b/>
      <sz val="9"/>
      <color rgb="FF1E3A5F"/>
      <name val="Arial"/>
      <family val="2"/>
    </font>
    <font>
      <i/>
      <sz val="9"/>
      <color rgb="FF374151"/>
      <name val="Arial"/>
      <family val="2"/>
    </font>
    <font>
      <sz val="9"/>
      <color rgb="FF6B7280"/>
      <name val="Arial"/>
      <family val="2"/>
    </font>
    <font>
      <b/>
      <sz val="9"/>
      <color rgb="FF000000"/>
      <name val="Arial"/>
      <family val="2"/>
    </font>
    <font>
      <sz val="9"/>
      <color rgb="FF374151"/>
      <name val="Consolas"/>
      <family val="3"/>
    </font>
    <font>
      <b/>
      <sz val="9"/>
      <color rgb="FF0D6A3B"/>
      <name val="Arial"/>
      <family val="2"/>
    </font>
    <font>
      <b/>
      <sz val="9"/>
      <color rgb="FF1D4ED8"/>
      <name val="Arial"/>
      <family val="2"/>
    </font>
    <font>
      <b/>
      <sz val="9"/>
      <color rgb="FFD97706"/>
      <name val="Arial"/>
      <family val="2"/>
    </font>
    <font>
      <b/>
      <sz val="9"/>
      <color rgb="FFB91C1C"/>
      <name val="Arial"/>
      <family val="2"/>
    </font>
    <font>
      <b/>
      <sz val="9"/>
      <color rgb="FF7C3AED"/>
      <name val="Arial"/>
      <family val="2"/>
    </font>
    <font>
      <b/>
      <sz val="11"/>
      <color rgb="FFFFFFFF"/>
      <name val="Arial"/>
      <family val="2"/>
    </font>
    <font>
      <i/>
      <sz val="8"/>
      <color rgb="FF374141"/>
      <name val="Arial"/>
      <family val="2"/>
    </font>
    <font>
      <i/>
      <sz val="8"/>
      <color rgb="FF374151"/>
      <name val="Arial"/>
      <family val="2"/>
    </font>
    <font>
      <sz val="8"/>
      <color rgb="FF374151"/>
      <name val="Arial"/>
      <family val="2"/>
    </font>
    <font>
      <sz val="8"/>
      <color rgb="FF1E3A5F"/>
      <name val="Consolas"/>
      <family val="3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i/>
      <sz val="9"/>
      <color theme="0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rgb="FFE8EDF2"/>
        <bgColor rgb="FFF0F4F9"/>
      </patternFill>
    </fill>
    <fill>
      <patternFill patternType="solid">
        <fgColor rgb="FFFFFDE7"/>
        <bgColor rgb="FFFFFBEB"/>
      </patternFill>
    </fill>
    <fill>
      <patternFill patternType="solid">
        <fgColor rgb="FFEFF6FF"/>
        <bgColor rgb="FFF0F4F9"/>
      </patternFill>
    </fill>
    <fill>
      <patternFill patternType="solid">
        <fgColor rgb="FF2563EB"/>
        <bgColor rgb="FF1D4ED8"/>
      </patternFill>
    </fill>
    <fill>
      <patternFill patternType="solid">
        <fgColor rgb="FFD1FAE5"/>
        <bgColor rgb="FFE8EDF2"/>
      </patternFill>
    </fill>
    <fill>
      <patternFill patternType="solid">
        <fgColor rgb="FFF0F4F9"/>
        <bgColor rgb="FFEFF6FF"/>
      </patternFill>
    </fill>
    <fill>
      <patternFill patternType="solid">
        <fgColor rgb="FF0D6A3B"/>
        <bgColor rgb="FF0E7C5A"/>
      </patternFill>
    </fill>
    <fill>
      <patternFill patternType="solid">
        <fgColor rgb="FFF0FFF4"/>
        <bgColor rgb="FFEFF6FF"/>
      </patternFill>
    </fill>
    <fill>
      <patternFill patternType="solid">
        <fgColor rgb="FF1D4ED8"/>
        <bgColor rgb="FF2563EB"/>
      </patternFill>
    </fill>
    <fill>
      <patternFill patternType="solid">
        <fgColor rgb="FFD97706"/>
        <bgColor rgb="FFFF9900"/>
      </patternFill>
    </fill>
    <fill>
      <patternFill patternType="solid">
        <fgColor rgb="FFFFFBEB"/>
        <bgColor rgb="FFFFFDE7"/>
      </patternFill>
    </fill>
    <fill>
      <patternFill patternType="solid">
        <fgColor rgb="FFB91C1C"/>
        <bgColor rgb="FF993366"/>
      </patternFill>
    </fill>
    <fill>
      <patternFill patternType="solid">
        <fgColor rgb="FFFEF2F2"/>
        <bgColor rgb="FFFAF5FF"/>
      </patternFill>
    </fill>
    <fill>
      <patternFill patternType="solid">
        <fgColor rgb="FF7C3AED"/>
        <bgColor rgb="FF993366"/>
      </patternFill>
    </fill>
    <fill>
      <patternFill patternType="solid">
        <fgColor rgb="FFFAF5FF"/>
        <bgColor rgb="FFFEF2F2"/>
      </patternFill>
    </fill>
    <fill>
      <patternFill patternType="solid">
        <fgColor rgb="FF0E7C5A"/>
        <bgColor rgb="FF0D6A3B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4.9989318521683403E-2"/>
        <bgColor rgb="FF1E3A5F"/>
      </patternFill>
    </fill>
    <fill>
      <patternFill patternType="solid">
        <fgColor theme="1" tint="4.9989318521683403E-2"/>
        <bgColor rgb="FF2563EB"/>
      </patternFill>
    </fill>
    <fill>
      <patternFill patternType="solid">
        <fgColor theme="1" tint="4.9989318521683403E-2"/>
        <bgColor rgb="FF374141"/>
      </patternFill>
    </fill>
    <fill>
      <patternFill patternType="solid">
        <fgColor theme="5" tint="-0.249977111117893"/>
        <bgColor rgb="FF1D4ED8"/>
      </patternFill>
    </fill>
    <fill>
      <patternFill patternType="solid">
        <fgColor theme="0"/>
        <bgColor rgb="FFFFFBEB"/>
      </patternFill>
    </fill>
    <fill>
      <patternFill patternType="solid">
        <fgColor theme="5" tint="-0.249977111117893"/>
        <bgColor rgb="FF1E3A5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13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left" vertical="center"/>
    </xf>
    <xf numFmtId="164" fontId="4" fillId="9" borderId="0" xfId="0" applyNumberFormat="1" applyFont="1" applyFill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0" fillId="9" borderId="0" xfId="0" applyFill="1"/>
    <xf numFmtId="0" fontId="2" fillId="10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164" fontId="3" fillId="4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0" fillId="4" borderId="0" xfId="0" applyFill="1"/>
    <xf numFmtId="0" fontId="3" fillId="12" borderId="0" xfId="0" applyFont="1" applyFill="1" applyAlignment="1">
      <alignment horizontal="left" vertical="center"/>
    </xf>
    <xf numFmtId="164" fontId="4" fillId="12" borderId="0" xfId="0" applyNumberFormat="1" applyFont="1" applyFill="1" applyAlignment="1">
      <alignment horizontal="center" vertical="center"/>
    </xf>
    <xf numFmtId="164" fontId="3" fillId="12" borderId="0" xfId="0" applyNumberFormat="1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12" fillId="12" borderId="0" xfId="0" applyFont="1" applyFill="1" applyAlignment="1">
      <alignment horizontal="center" vertical="center"/>
    </xf>
    <xf numFmtId="0" fontId="0" fillId="12" borderId="0" xfId="0" applyFill="1"/>
    <xf numFmtId="0" fontId="3" fillId="14" borderId="0" xfId="0" applyFont="1" applyFill="1" applyAlignment="1">
      <alignment horizontal="left" vertical="center"/>
    </xf>
    <xf numFmtId="164" fontId="4" fillId="14" borderId="0" xfId="0" applyNumberFormat="1" applyFont="1" applyFill="1" applyAlignment="1">
      <alignment horizontal="center" vertical="center"/>
    </xf>
    <xf numFmtId="164" fontId="3" fillId="14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0" fillId="14" borderId="0" xfId="0" applyFill="1"/>
    <xf numFmtId="0" fontId="2" fillId="15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left" vertical="center"/>
    </xf>
    <xf numFmtId="164" fontId="4" fillId="16" borderId="0" xfId="0" applyNumberFormat="1" applyFont="1" applyFill="1" applyAlignment="1">
      <alignment horizontal="center" vertical="center"/>
    </xf>
    <xf numFmtId="164" fontId="3" fillId="16" borderId="0" xfId="0" applyNumberFormat="1" applyFont="1" applyFill="1" applyAlignment="1">
      <alignment horizontal="center" vertical="center"/>
    </xf>
    <xf numFmtId="0" fontId="3" fillId="16" borderId="0" xfId="0" applyFont="1" applyFill="1" applyAlignment="1">
      <alignment horizontal="center" vertical="center"/>
    </xf>
    <xf numFmtId="0" fontId="14" fillId="16" borderId="0" xfId="0" applyFont="1" applyFill="1" applyAlignment="1">
      <alignment horizontal="center" vertical="center"/>
    </xf>
    <xf numFmtId="0" fontId="0" fillId="16" borderId="0" xfId="0" applyFill="1"/>
    <xf numFmtId="0" fontId="17" fillId="0" borderId="0" xfId="0" applyFont="1"/>
    <xf numFmtId="164" fontId="0" fillId="0" borderId="0" xfId="0" applyNumberFormat="1"/>
    <xf numFmtId="165" fontId="0" fillId="0" borderId="0" xfId="0" applyNumberFormat="1"/>
    <xf numFmtId="0" fontId="0" fillId="18" borderId="0" xfId="0" applyFill="1"/>
    <xf numFmtId="0" fontId="3" fillId="2" borderId="0" xfId="0" applyFont="1" applyFill="1" applyAlignment="1">
      <alignment vertical="center"/>
    </xf>
    <xf numFmtId="0" fontId="18" fillId="9" borderId="0" xfId="0" applyFont="1" applyFill="1" applyAlignment="1">
      <alignment horizontal="left" vertical="center" wrapText="1"/>
    </xf>
    <xf numFmtId="0" fontId="18" fillId="4" borderId="0" xfId="0" applyFont="1" applyFill="1" applyAlignment="1">
      <alignment horizontal="left" vertical="center" wrapText="1"/>
    </xf>
    <xf numFmtId="0" fontId="18" fillId="12" borderId="0" xfId="0" applyFont="1" applyFill="1" applyAlignment="1">
      <alignment horizontal="left" vertical="center" wrapText="1"/>
    </xf>
    <xf numFmtId="0" fontId="18" fillId="14" borderId="0" xfId="0" applyFont="1" applyFill="1" applyAlignment="1">
      <alignment horizontal="left" vertical="center" wrapText="1"/>
    </xf>
    <xf numFmtId="0" fontId="18" fillId="16" borderId="0" xfId="0" applyFont="1" applyFill="1" applyAlignment="1">
      <alignment horizontal="left" vertical="center" wrapText="1"/>
    </xf>
    <xf numFmtId="0" fontId="2" fillId="17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14" fontId="4" fillId="4" borderId="0" xfId="0" applyNumberFormat="1" applyFont="1" applyFill="1" applyAlignment="1">
      <alignment horizontal="center" vertical="center"/>
    </xf>
    <xf numFmtId="0" fontId="17" fillId="7" borderId="0" xfId="0" applyFont="1" applyFill="1" applyAlignment="1">
      <alignment horizontal="center" vertical="center" wrapText="1"/>
    </xf>
    <xf numFmtId="0" fontId="18" fillId="7" borderId="0" xfId="0" applyFont="1" applyFill="1" applyAlignment="1">
      <alignment horizontal="center" vertical="center" wrapText="1"/>
    </xf>
    <xf numFmtId="0" fontId="19" fillId="4" borderId="0" xfId="0" applyFont="1" applyFill="1" applyAlignment="1">
      <alignment horizontal="left" vertical="center" wrapText="1"/>
    </xf>
    <xf numFmtId="0" fontId="19" fillId="12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9" fillId="16" borderId="0" xfId="0" applyFont="1" applyFill="1" applyAlignment="1">
      <alignment horizontal="left" vertical="center" wrapText="1"/>
    </xf>
    <xf numFmtId="0" fontId="15" fillId="11" borderId="2" xfId="0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0" fontId="17" fillId="7" borderId="0" xfId="0" applyFont="1" applyFill="1" applyAlignment="1">
      <alignment horizontal="left" vertical="center" wrapText="1"/>
    </xf>
    <xf numFmtId="0" fontId="19" fillId="9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left" vertical="center"/>
    </xf>
    <xf numFmtId="0" fontId="20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1" fillId="19" borderId="0" xfId="0" applyFont="1" applyFill="1" applyAlignment="1">
      <alignment vertical="center"/>
    </xf>
    <xf numFmtId="0" fontId="21" fillId="19" borderId="0" xfId="0" applyFont="1" applyFill="1" applyAlignment="1">
      <alignment vertical="center"/>
    </xf>
    <xf numFmtId="0" fontId="21" fillId="19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left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3" xfId="0" applyFont="1" applyFill="1" applyBorder="1" applyAlignment="1">
      <alignment horizontal="center" vertical="center"/>
    </xf>
    <xf numFmtId="0" fontId="22" fillId="24" borderId="0" xfId="0" applyFont="1" applyFill="1" applyAlignment="1">
      <alignment horizontal="center"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D6A3B"/>
      <rgbColor rgb="FF000080"/>
      <rgbColor rgb="FF808000"/>
      <rgbColor rgb="FF800080"/>
      <rgbColor rgb="FF0E7C5A"/>
      <rgbColor rgb="FFF0F4F9"/>
      <rgbColor rgb="FF878787"/>
      <rgbColor rgb="FF9999FF"/>
      <rgbColor rgb="FF7C3AED"/>
      <rgbColor rgb="FFFFFDE7"/>
      <rgbColor rgb="FFF0FFF4"/>
      <rgbColor rgb="FF660066"/>
      <rgbColor rgb="FFFF8080"/>
      <rgbColor rgb="FF1B6CA8"/>
      <rgbColor rgb="FFD9D9D9"/>
      <rgbColor rgb="FF000080"/>
      <rgbColor rgb="FFFF00FF"/>
      <rgbColor rgb="FFFFFF00"/>
      <rgbColor rgb="FF00FFFF"/>
      <rgbColor rgb="FF800080"/>
      <rgbColor rgb="FF800000"/>
      <rgbColor rgb="FF1D4ED8"/>
      <rgbColor rgb="FF0000FF"/>
      <rgbColor rgb="FF00CCFF"/>
      <rgbColor rgb="FFEFF6FF"/>
      <rgbColor rgb="FFD1FAE5"/>
      <rgbColor rgb="FFFFFBEB"/>
      <rgbColor rgb="FFFAF5FF"/>
      <rgbColor rgb="FFFEF2F2"/>
      <rgbColor rgb="FFCC99FF"/>
      <rgbColor rgb="FFE8EDF2"/>
      <rgbColor rgb="FF2563EB"/>
      <rgbColor rgb="FF33CCCC"/>
      <rgbColor rgb="FF99CC00"/>
      <rgbColor rgb="FFFFCC00"/>
      <rgbColor rgb="FFFF9900"/>
      <rgbColor rgb="FFD97706"/>
      <rgbColor rgb="FF6B7280"/>
      <rgbColor rgb="FF8BA8C8"/>
      <rgbColor rgb="FF0F2D5A"/>
      <rgbColor rgb="FF339966"/>
      <rgbColor rgb="FF003300"/>
      <rgbColor rgb="FF374151"/>
      <rgbColor rgb="FFB91C1C"/>
      <rgbColor rgb="FF993366"/>
      <rgbColor rgb="FF1E3A5F"/>
      <rgbColor rgb="FF3741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Seismic Fragility Curves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'Fragility Data'!$B$1</c:f>
              <c:strCache>
                <c:ptCount val="1"/>
                <c:pt idx="0">
                  <c:v>DS1 Slight</c:v>
                </c:pt>
              </c:strCache>
            </c:strRef>
          </c:tx>
          <c:spPr>
            <a:ln w="20160">
              <a:solidFill>
                <a:srgbClr val="1D4ED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'Fragility Data'!$A$2:$A$135</c:f>
              <c:numCache>
                <c:formatCode>0.000</c:formatCode>
                <c:ptCount val="134"/>
                <c:pt idx="0">
                  <c:v>0.01</c:v>
                </c:pt>
                <c:pt idx="1">
                  <c:v>0.04</c:v>
                </c:pt>
                <c:pt idx="2">
                  <c:v>7.0000000000000007E-2</c:v>
                </c:pt>
                <c:pt idx="3">
                  <c:v>0.1</c:v>
                </c:pt>
                <c:pt idx="4">
                  <c:v>0.13</c:v>
                </c:pt>
                <c:pt idx="5">
                  <c:v>0.16</c:v>
                </c:pt>
                <c:pt idx="6">
                  <c:v>0.19</c:v>
                </c:pt>
                <c:pt idx="7">
                  <c:v>0.22</c:v>
                </c:pt>
                <c:pt idx="8">
                  <c:v>0.25</c:v>
                </c:pt>
                <c:pt idx="9">
                  <c:v>0.28000000000000003</c:v>
                </c:pt>
                <c:pt idx="10">
                  <c:v>0.31</c:v>
                </c:pt>
                <c:pt idx="11">
                  <c:v>0.34</c:v>
                </c:pt>
                <c:pt idx="12">
                  <c:v>0.37</c:v>
                </c:pt>
                <c:pt idx="13">
                  <c:v>0.4</c:v>
                </c:pt>
                <c:pt idx="14">
                  <c:v>0.43</c:v>
                </c:pt>
                <c:pt idx="15">
                  <c:v>0.46</c:v>
                </c:pt>
                <c:pt idx="16">
                  <c:v>0.49</c:v>
                </c:pt>
                <c:pt idx="17">
                  <c:v>0.52</c:v>
                </c:pt>
                <c:pt idx="18">
                  <c:v>0.55000000000000004</c:v>
                </c:pt>
                <c:pt idx="19">
                  <c:v>0.57999999999999996</c:v>
                </c:pt>
                <c:pt idx="20">
                  <c:v>0.61</c:v>
                </c:pt>
                <c:pt idx="21">
                  <c:v>0.64</c:v>
                </c:pt>
                <c:pt idx="22">
                  <c:v>0.67</c:v>
                </c:pt>
                <c:pt idx="23">
                  <c:v>0.7</c:v>
                </c:pt>
                <c:pt idx="24">
                  <c:v>0.73</c:v>
                </c:pt>
                <c:pt idx="25">
                  <c:v>0.76</c:v>
                </c:pt>
                <c:pt idx="26">
                  <c:v>0.79</c:v>
                </c:pt>
                <c:pt idx="27">
                  <c:v>0.82</c:v>
                </c:pt>
                <c:pt idx="28">
                  <c:v>0.85</c:v>
                </c:pt>
                <c:pt idx="29">
                  <c:v>0.88</c:v>
                </c:pt>
                <c:pt idx="30">
                  <c:v>0.91</c:v>
                </c:pt>
                <c:pt idx="31">
                  <c:v>0.94</c:v>
                </c:pt>
                <c:pt idx="32">
                  <c:v>0.97</c:v>
                </c:pt>
                <c:pt idx="33">
                  <c:v>1</c:v>
                </c:pt>
                <c:pt idx="34">
                  <c:v>1.03</c:v>
                </c:pt>
                <c:pt idx="35">
                  <c:v>1.06</c:v>
                </c:pt>
                <c:pt idx="36">
                  <c:v>1.0900000000000001</c:v>
                </c:pt>
                <c:pt idx="37">
                  <c:v>1.1200000000000001</c:v>
                </c:pt>
                <c:pt idx="38">
                  <c:v>1.1499999999999999</c:v>
                </c:pt>
                <c:pt idx="39">
                  <c:v>1.18</c:v>
                </c:pt>
                <c:pt idx="40">
                  <c:v>1.21</c:v>
                </c:pt>
                <c:pt idx="41">
                  <c:v>1.24</c:v>
                </c:pt>
                <c:pt idx="42">
                  <c:v>1.27</c:v>
                </c:pt>
                <c:pt idx="43">
                  <c:v>1.3</c:v>
                </c:pt>
                <c:pt idx="44">
                  <c:v>1.33</c:v>
                </c:pt>
                <c:pt idx="45">
                  <c:v>1.36</c:v>
                </c:pt>
                <c:pt idx="46">
                  <c:v>1.39</c:v>
                </c:pt>
                <c:pt idx="47">
                  <c:v>1.42</c:v>
                </c:pt>
                <c:pt idx="48">
                  <c:v>1.45</c:v>
                </c:pt>
                <c:pt idx="49">
                  <c:v>1.48</c:v>
                </c:pt>
                <c:pt idx="50">
                  <c:v>1.51</c:v>
                </c:pt>
                <c:pt idx="51">
                  <c:v>1.54</c:v>
                </c:pt>
                <c:pt idx="52">
                  <c:v>1.57</c:v>
                </c:pt>
                <c:pt idx="53">
                  <c:v>1.6</c:v>
                </c:pt>
                <c:pt idx="54">
                  <c:v>1.63</c:v>
                </c:pt>
                <c:pt idx="55">
                  <c:v>1.66</c:v>
                </c:pt>
                <c:pt idx="56">
                  <c:v>1.69</c:v>
                </c:pt>
                <c:pt idx="57">
                  <c:v>1.72</c:v>
                </c:pt>
                <c:pt idx="58">
                  <c:v>1.75</c:v>
                </c:pt>
                <c:pt idx="59">
                  <c:v>1.78</c:v>
                </c:pt>
                <c:pt idx="60">
                  <c:v>1.81</c:v>
                </c:pt>
                <c:pt idx="61">
                  <c:v>1.84</c:v>
                </c:pt>
                <c:pt idx="62">
                  <c:v>1.87</c:v>
                </c:pt>
                <c:pt idx="63">
                  <c:v>1.9</c:v>
                </c:pt>
                <c:pt idx="64">
                  <c:v>1.93</c:v>
                </c:pt>
                <c:pt idx="65">
                  <c:v>1.96</c:v>
                </c:pt>
                <c:pt idx="66">
                  <c:v>1.99</c:v>
                </c:pt>
                <c:pt idx="67">
                  <c:v>2.02</c:v>
                </c:pt>
                <c:pt idx="68">
                  <c:v>2.0499999999999998</c:v>
                </c:pt>
                <c:pt idx="69">
                  <c:v>2.08</c:v>
                </c:pt>
                <c:pt idx="70">
                  <c:v>2.11</c:v>
                </c:pt>
                <c:pt idx="71">
                  <c:v>2.14</c:v>
                </c:pt>
                <c:pt idx="72">
                  <c:v>2.17</c:v>
                </c:pt>
                <c:pt idx="73">
                  <c:v>2.2000000000000002</c:v>
                </c:pt>
                <c:pt idx="74">
                  <c:v>2.23</c:v>
                </c:pt>
                <c:pt idx="75">
                  <c:v>2.2599999999999998</c:v>
                </c:pt>
                <c:pt idx="76">
                  <c:v>2.29</c:v>
                </c:pt>
                <c:pt idx="77">
                  <c:v>2.3199999999999998</c:v>
                </c:pt>
                <c:pt idx="78">
                  <c:v>2.35</c:v>
                </c:pt>
                <c:pt idx="79">
                  <c:v>2.38</c:v>
                </c:pt>
                <c:pt idx="80">
                  <c:v>2.41</c:v>
                </c:pt>
                <c:pt idx="81">
                  <c:v>2.44</c:v>
                </c:pt>
                <c:pt idx="82">
                  <c:v>2.4700000000000002</c:v>
                </c:pt>
                <c:pt idx="83">
                  <c:v>2.5</c:v>
                </c:pt>
                <c:pt idx="84">
                  <c:v>2.5299999999999998</c:v>
                </c:pt>
                <c:pt idx="85">
                  <c:v>2.56</c:v>
                </c:pt>
                <c:pt idx="86">
                  <c:v>2.59</c:v>
                </c:pt>
                <c:pt idx="87">
                  <c:v>2.62</c:v>
                </c:pt>
                <c:pt idx="88">
                  <c:v>2.65</c:v>
                </c:pt>
                <c:pt idx="89">
                  <c:v>2.68</c:v>
                </c:pt>
                <c:pt idx="90">
                  <c:v>2.71</c:v>
                </c:pt>
                <c:pt idx="91">
                  <c:v>2.74</c:v>
                </c:pt>
                <c:pt idx="92">
                  <c:v>2.77</c:v>
                </c:pt>
                <c:pt idx="93">
                  <c:v>2.8</c:v>
                </c:pt>
                <c:pt idx="94">
                  <c:v>2.83</c:v>
                </c:pt>
                <c:pt idx="95">
                  <c:v>2.86</c:v>
                </c:pt>
                <c:pt idx="96">
                  <c:v>2.89</c:v>
                </c:pt>
                <c:pt idx="97">
                  <c:v>2.92</c:v>
                </c:pt>
                <c:pt idx="98">
                  <c:v>2.95</c:v>
                </c:pt>
                <c:pt idx="99">
                  <c:v>2.98</c:v>
                </c:pt>
                <c:pt idx="100">
                  <c:v>3.01</c:v>
                </c:pt>
                <c:pt idx="101">
                  <c:v>3.04</c:v>
                </c:pt>
                <c:pt idx="102">
                  <c:v>3.07</c:v>
                </c:pt>
                <c:pt idx="103">
                  <c:v>3.1</c:v>
                </c:pt>
                <c:pt idx="104">
                  <c:v>3.13</c:v>
                </c:pt>
                <c:pt idx="105">
                  <c:v>3.16</c:v>
                </c:pt>
                <c:pt idx="106">
                  <c:v>3.19</c:v>
                </c:pt>
                <c:pt idx="107">
                  <c:v>3.22</c:v>
                </c:pt>
                <c:pt idx="108">
                  <c:v>3.25</c:v>
                </c:pt>
                <c:pt idx="109">
                  <c:v>3.28</c:v>
                </c:pt>
                <c:pt idx="110">
                  <c:v>3.31</c:v>
                </c:pt>
                <c:pt idx="111">
                  <c:v>3.34</c:v>
                </c:pt>
                <c:pt idx="112">
                  <c:v>3.37</c:v>
                </c:pt>
                <c:pt idx="113">
                  <c:v>3.4</c:v>
                </c:pt>
                <c:pt idx="114">
                  <c:v>3.43</c:v>
                </c:pt>
                <c:pt idx="115">
                  <c:v>3.46</c:v>
                </c:pt>
                <c:pt idx="116">
                  <c:v>3.49</c:v>
                </c:pt>
                <c:pt idx="117">
                  <c:v>3.52</c:v>
                </c:pt>
                <c:pt idx="118">
                  <c:v>3.55</c:v>
                </c:pt>
                <c:pt idx="119">
                  <c:v>3.58</c:v>
                </c:pt>
                <c:pt idx="120">
                  <c:v>3.61</c:v>
                </c:pt>
                <c:pt idx="121">
                  <c:v>3.64</c:v>
                </c:pt>
                <c:pt idx="122">
                  <c:v>3.67</c:v>
                </c:pt>
                <c:pt idx="123">
                  <c:v>3.7</c:v>
                </c:pt>
                <c:pt idx="124">
                  <c:v>3.73</c:v>
                </c:pt>
                <c:pt idx="125">
                  <c:v>3.76</c:v>
                </c:pt>
                <c:pt idx="126">
                  <c:v>3.79</c:v>
                </c:pt>
                <c:pt idx="127">
                  <c:v>3.82</c:v>
                </c:pt>
                <c:pt idx="128">
                  <c:v>3.85</c:v>
                </c:pt>
                <c:pt idx="129">
                  <c:v>3.88</c:v>
                </c:pt>
                <c:pt idx="130">
                  <c:v>3.91</c:v>
                </c:pt>
                <c:pt idx="131">
                  <c:v>3.94</c:v>
                </c:pt>
                <c:pt idx="132">
                  <c:v>3.97</c:v>
                </c:pt>
                <c:pt idx="133">
                  <c:v>4</c:v>
                </c:pt>
              </c:numCache>
            </c:numRef>
          </c:xVal>
          <c:yVal>
            <c:numRef>
              <c:f>'Fragility Data'!$B$2:$B$135</c:f>
              <c:numCache>
                <c:formatCode>0.0000</c:formatCode>
                <c:ptCount val="134"/>
                <c:pt idx="0">
                  <c:v>3.8250084217625962E-13</c:v>
                </c:pt>
                <c:pt idx="1">
                  <c:v>1.071439654744465E-4</c:v>
                </c:pt>
                <c:pt idx="2">
                  <c:v>1.0653249602162447E-2</c:v>
                </c:pt>
                <c:pt idx="3">
                  <c:v>7.9148644566614468E-2</c:v>
                </c:pt>
                <c:pt idx="4">
                  <c:v>0.2251512773910592</c:v>
                </c:pt>
                <c:pt idx="5">
                  <c:v>0.40678915953821587</c:v>
                </c:pt>
                <c:pt idx="6">
                  <c:v>0.57683897816020813</c:v>
                </c:pt>
                <c:pt idx="7">
                  <c:v>0.71237009562809139</c:v>
                </c:pt>
                <c:pt idx="8">
                  <c:v>0.81054473428556473</c:v>
                </c:pt>
                <c:pt idx="9">
                  <c:v>0.87763132602346627</c:v>
                </c:pt>
                <c:pt idx="10">
                  <c:v>0.92185846371114366</c:v>
                </c:pt>
                <c:pt idx="11">
                  <c:v>0.95038695868196643</c:v>
                </c:pt>
                <c:pt idx="12">
                  <c:v>0.96855799185472768</c:v>
                </c:pt>
                <c:pt idx="13">
                  <c:v>0.98005636932975282</c:v>
                </c:pt>
                <c:pt idx="14">
                  <c:v>0.98731481569629098</c:v>
                </c:pt>
                <c:pt idx="15">
                  <c:v>0.99189869461724522</c:v>
                </c:pt>
                <c:pt idx="16">
                  <c:v>0.99480042760656939</c:v>
                </c:pt>
                <c:pt idx="17">
                  <c:v>0.99664419995413855</c:v>
                </c:pt>
                <c:pt idx="18">
                  <c:v>0.99782123629617103</c:v>
                </c:pt>
                <c:pt idx="19">
                  <c:v>0.99857664495283172</c:v>
                </c:pt>
                <c:pt idx="20">
                  <c:v>0.99906424827749662</c:v>
                </c:pt>
                <c:pt idx="21">
                  <c:v>0.9993808834864335</c:v>
                </c:pt>
                <c:pt idx="22">
                  <c:v>0.99958776674553085</c:v>
                </c:pt>
                <c:pt idx="23">
                  <c:v>0.99972378419645525</c:v>
                </c:pt>
                <c:pt idx="24">
                  <c:v>0.99981376918602061</c:v>
                </c:pt>
                <c:pt idx="25">
                  <c:v>0.99987367035365615</c:v>
                </c:pt>
                <c:pt idx="26">
                  <c:v>0.99991379024963523</c:v>
                </c:pt>
                <c:pt idx="27">
                  <c:v>0.99994082379209359</c:v>
                </c:pt>
                <c:pt idx="28">
                  <c:v>0.99995914765090632</c:v>
                </c:pt>
                <c:pt idx="29">
                  <c:v>0.99997164013894979</c:v>
                </c:pt>
                <c:pt idx="30">
                  <c:v>0.99998020544570076</c:v>
                </c:pt>
                <c:pt idx="31">
                  <c:v>0.99998611073026955</c:v>
                </c:pt>
                <c:pt idx="32">
                  <c:v>0.99999020412484063</c:v>
                </c:pt>
                <c:pt idx="33">
                  <c:v>0.99999305653454729</c:v>
                </c:pt>
                <c:pt idx="34">
                  <c:v>0.99999505440179792</c:v>
                </c:pt>
                <c:pt idx="35">
                  <c:v>0.99999646073863568</c:v>
                </c:pt>
                <c:pt idx="36">
                  <c:v>0.99999745550851937</c:v>
                </c:pt>
                <c:pt idx="37">
                  <c:v>0.99999816249351015</c:v>
                </c:pt>
                <c:pt idx="38">
                  <c:v>0.99999866726769093</c:v>
                </c:pt>
                <c:pt idx="39">
                  <c:v>0.99999902928553797</c:v>
                </c:pt>
                <c:pt idx="40">
                  <c:v>0.99999929005503807</c:v>
                </c:pt>
                <c:pt idx="41">
                  <c:v>0.99999947869216987</c:v>
                </c:pt>
                <c:pt idx="42">
                  <c:v>0.99999961571481133</c:v>
                </c:pt>
                <c:pt idx="43">
                  <c:v>0.9999997156469087</c:v>
                </c:pt>
                <c:pt idx="44">
                  <c:v>0.99999978881462404</c:v>
                </c:pt>
                <c:pt idx="45">
                  <c:v>0.99999984259101471</c:v>
                </c:pt>
                <c:pt idx="46">
                  <c:v>0.99999988226253167</c:v>
                </c:pt>
                <c:pt idx="47">
                  <c:v>0.99999991163495394</c:v>
                </c:pt>
                <c:pt idx="48">
                  <c:v>0.99999993345897276</c:v>
                </c:pt>
                <c:pt idx="49">
                  <c:v>0.99999994973038653</c:v>
                </c:pt>
                <c:pt idx="50">
                  <c:v>0.99999996190273488</c:v>
                </c:pt>
                <c:pt idx="51">
                  <c:v>0.99999997103852623</c:v>
                </c:pt>
                <c:pt idx="52">
                  <c:v>0.99999997791722228</c:v>
                </c:pt>
                <c:pt idx="53">
                  <c:v>0.99999998311264449</c:v>
                </c:pt>
                <c:pt idx="54">
                  <c:v>0.9999999870486721</c:v>
                </c:pt>
                <c:pt idx="55">
                  <c:v>0.99999999003946838</c:v>
                </c:pt>
                <c:pt idx="56">
                  <c:v>0.99999999231863945</c:v>
                </c:pt>
                <c:pt idx="57">
                  <c:v>0.99999999406044349</c:v>
                </c:pt>
                <c:pt idx="58">
                  <c:v>0.99999999539527329</c:v>
                </c:pt>
                <c:pt idx="59">
                  <c:v>0.99999999642099513</c:v>
                </c:pt>
                <c:pt idx="60">
                  <c:v>0.99999999721128097</c:v>
                </c:pt>
                <c:pt idx="61">
                  <c:v>0.99999999782175075</c:v>
                </c:pt>
                <c:pt idx="62">
                  <c:v>0.99999999829451558</c:v>
                </c:pt>
                <c:pt idx="63">
                  <c:v>0.9999999986615471</c:v>
                </c:pt>
                <c:pt idx="64">
                  <c:v>0.99999999894718483</c:v>
                </c:pt>
                <c:pt idx="65">
                  <c:v>0.99999999917000781</c:v>
                </c:pt>
                <c:pt idx="66">
                  <c:v>0.99999999934423434</c:v>
                </c:pt>
                <c:pt idx="67">
                  <c:v>0.999999999480774</c:v>
                </c:pt>
                <c:pt idx="68">
                  <c:v>0.99999999958801766</c:v>
                </c:pt>
                <c:pt idx="69">
                  <c:v>0.99999999967243569</c:v>
                </c:pt>
                <c:pt idx="70">
                  <c:v>0.99999999973902864</c:v>
                </c:pt>
                <c:pt idx="71">
                  <c:v>0.99999999979167087</c:v>
                </c:pt>
                <c:pt idx="72">
                  <c:v>0.99999999983337073</c:v>
                </c:pt>
                <c:pt idx="73">
                  <c:v>0.99999999986646948</c:v>
                </c:pt>
                <c:pt idx="74">
                  <c:v>0.9999999998927932</c:v>
                </c:pt>
                <c:pt idx="75">
                  <c:v>0.99999999991376953</c:v>
                </c:pt>
                <c:pt idx="76">
                  <c:v>0.99999999993051658</c:v>
                </c:pt>
                <c:pt idx="77">
                  <c:v>0.99999999994391209</c:v>
                </c:pt>
                <c:pt idx="78">
                  <c:v>0.9999999999546465</c:v>
                </c:pt>
                <c:pt idx="79">
                  <c:v>0.99999999996326394</c:v>
                </c:pt>
                <c:pt idx="80">
                  <c:v>0.99999999997019418</c:v>
                </c:pt>
                <c:pt idx="81">
                  <c:v>0.99999999997577727</c:v>
                </c:pt>
                <c:pt idx="82">
                  <c:v>0.99999999998028277</c:v>
                </c:pt>
                <c:pt idx="83">
                  <c:v>0.99999999998392464</c:v>
                </c:pt>
                <c:pt idx="84">
                  <c:v>0.9999999999868735</c:v>
                </c:pt>
                <c:pt idx="85">
                  <c:v>0.99999999998926492</c:v>
                </c:pt>
                <c:pt idx="86">
                  <c:v>0.99999999999120748</c:v>
                </c:pt>
                <c:pt idx="87">
                  <c:v>0.99999999999278777</c:v>
                </c:pt>
                <c:pt idx="88">
                  <c:v>0.99999999999407552</c:v>
                </c:pt>
                <c:pt idx="89">
                  <c:v>0.99999999999512623</c:v>
                </c:pt>
                <c:pt idx="90">
                  <c:v>0.99999999999598499</c:v>
                </c:pt>
                <c:pt idx="91">
                  <c:v>0.99999999999668787</c:v>
                </c:pt>
                <c:pt idx="92">
                  <c:v>0.99999999999726397</c:v>
                </c:pt>
                <c:pt idx="93">
                  <c:v>0.99999999999773681</c:v>
                </c:pt>
                <c:pt idx="94">
                  <c:v>0.9999999999981255</c:v>
                </c:pt>
                <c:pt idx="95">
                  <c:v>0.99999999999844535</c:v>
                </c:pt>
                <c:pt idx="96">
                  <c:v>0.99999999999870903</c:v>
                </c:pt>
                <c:pt idx="97">
                  <c:v>0.99999999999892664</c:v>
                </c:pt>
                <c:pt idx="98">
                  <c:v>0.99999999999910638</c:v>
                </c:pt>
                <c:pt idx="99">
                  <c:v>0.99999999999925515</c:v>
                </c:pt>
                <c:pt idx="100">
                  <c:v>0.99999999999937839</c:v>
                </c:pt>
                <c:pt idx="101">
                  <c:v>0.99999999999948064</c:v>
                </c:pt>
                <c:pt idx="102">
                  <c:v>0.99999999999956557</c:v>
                </c:pt>
                <c:pt idx="103">
                  <c:v>0.99999999999963618</c:v>
                </c:pt>
                <c:pt idx="104">
                  <c:v>0.99999999999969502</c:v>
                </c:pt>
                <c:pt idx="105">
                  <c:v>0.99999999999974398</c:v>
                </c:pt>
                <c:pt idx="106">
                  <c:v>0.99999999999978484</c:v>
                </c:pt>
                <c:pt idx="107">
                  <c:v>0.99999999999981903</c:v>
                </c:pt>
                <c:pt idx="108">
                  <c:v>0.99999999999984768</c:v>
                </c:pt>
                <c:pt idx="109">
                  <c:v>0.99999999999987155</c:v>
                </c:pt>
                <c:pt idx="110">
                  <c:v>0.99999999999989164</c:v>
                </c:pt>
                <c:pt idx="111">
                  <c:v>0.99999999999990841</c:v>
                </c:pt>
                <c:pt idx="112">
                  <c:v>0.99999999999992262</c:v>
                </c:pt>
                <c:pt idx="113">
                  <c:v>0.9999999999999345</c:v>
                </c:pt>
                <c:pt idx="114">
                  <c:v>0.99999999999994449</c:v>
                </c:pt>
                <c:pt idx="115">
                  <c:v>0.99999999999995293</c:v>
                </c:pt>
                <c:pt idx="116">
                  <c:v>0.99999999999996003</c:v>
                </c:pt>
                <c:pt idx="117">
                  <c:v>0.99999999999996603</c:v>
                </c:pt>
                <c:pt idx="118">
                  <c:v>0.99999999999997113</c:v>
                </c:pt>
                <c:pt idx="119">
                  <c:v>0.99999999999997535</c:v>
                </c:pt>
                <c:pt idx="120">
                  <c:v>0.99999999999997902</c:v>
                </c:pt>
                <c:pt idx="121">
                  <c:v>0.99999999999998213</c:v>
                </c:pt>
                <c:pt idx="122">
                  <c:v>0.99999999999998479</c:v>
                </c:pt>
                <c:pt idx="123">
                  <c:v>0.99999999999998701</c:v>
                </c:pt>
                <c:pt idx="124">
                  <c:v>0.9999999999999889</c:v>
                </c:pt>
                <c:pt idx="125">
                  <c:v>0.99999999999999045</c:v>
                </c:pt>
                <c:pt idx="126">
                  <c:v>0.99999999999999178</c:v>
                </c:pt>
                <c:pt idx="127">
                  <c:v>0.99999999999999301</c:v>
                </c:pt>
                <c:pt idx="128">
                  <c:v>0.999999999999994</c:v>
                </c:pt>
                <c:pt idx="129">
                  <c:v>0.99999999999999489</c:v>
                </c:pt>
                <c:pt idx="130">
                  <c:v>0.99999999999999556</c:v>
                </c:pt>
                <c:pt idx="131">
                  <c:v>0.99999999999999623</c:v>
                </c:pt>
                <c:pt idx="132">
                  <c:v>0.99999999999999667</c:v>
                </c:pt>
                <c:pt idx="133">
                  <c:v>0.99999999999999722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6B-4013-A22F-1AFD31747989}"/>
            </c:ext>
          </c:extLst>
        </c:ser>
        <c:ser>
          <c:idx val="1"/>
          <c:order val="1"/>
          <c:tx>
            <c:strRef>
              <c:f>'Fragility Data'!$C$1</c:f>
              <c:strCache>
                <c:ptCount val="1"/>
                <c:pt idx="0">
                  <c:v>DS2 Moderate</c:v>
                </c:pt>
              </c:strCache>
            </c:strRef>
          </c:tx>
          <c:spPr>
            <a:ln w="20160">
              <a:solidFill>
                <a:srgbClr val="0D6A3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'Fragility Data'!$A$2:$A$135</c:f>
              <c:numCache>
                <c:formatCode>0.000</c:formatCode>
                <c:ptCount val="134"/>
                <c:pt idx="0">
                  <c:v>0.01</c:v>
                </c:pt>
                <c:pt idx="1">
                  <c:v>0.04</c:v>
                </c:pt>
                <c:pt idx="2">
                  <c:v>7.0000000000000007E-2</c:v>
                </c:pt>
                <c:pt idx="3">
                  <c:v>0.1</c:v>
                </c:pt>
                <c:pt idx="4">
                  <c:v>0.13</c:v>
                </c:pt>
                <c:pt idx="5">
                  <c:v>0.16</c:v>
                </c:pt>
                <c:pt idx="6">
                  <c:v>0.19</c:v>
                </c:pt>
                <c:pt idx="7">
                  <c:v>0.22</c:v>
                </c:pt>
                <c:pt idx="8">
                  <c:v>0.25</c:v>
                </c:pt>
                <c:pt idx="9">
                  <c:v>0.28000000000000003</c:v>
                </c:pt>
                <c:pt idx="10">
                  <c:v>0.31</c:v>
                </c:pt>
                <c:pt idx="11">
                  <c:v>0.34</c:v>
                </c:pt>
                <c:pt idx="12">
                  <c:v>0.37</c:v>
                </c:pt>
                <c:pt idx="13">
                  <c:v>0.4</c:v>
                </c:pt>
                <c:pt idx="14">
                  <c:v>0.43</c:v>
                </c:pt>
                <c:pt idx="15">
                  <c:v>0.46</c:v>
                </c:pt>
                <c:pt idx="16">
                  <c:v>0.49</c:v>
                </c:pt>
                <c:pt idx="17">
                  <c:v>0.52</c:v>
                </c:pt>
                <c:pt idx="18">
                  <c:v>0.55000000000000004</c:v>
                </c:pt>
                <c:pt idx="19">
                  <c:v>0.57999999999999996</c:v>
                </c:pt>
                <c:pt idx="20">
                  <c:v>0.61</c:v>
                </c:pt>
                <c:pt idx="21">
                  <c:v>0.64</c:v>
                </c:pt>
                <c:pt idx="22">
                  <c:v>0.67</c:v>
                </c:pt>
                <c:pt idx="23">
                  <c:v>0.7</c:v>
                </c:pt>
                <c:pt idx="24">
                  <c:v>0.73</c:v>
                </c:pt>
                <c:pt idx="25">
                  <c:v>0.76</c:v>
                </c:pt>
                <c:pt idx="26">
                  <c:v>0.79</c:v>
                </c:pt>
                <c:pt idx="27">
                  <c:v>0.82</c:v>
                </c:pt>
                <c:pt idx="28">
                  <c:v>0.85</c:v>
                </c:pt>
                <c:pt idx="29">
                  <c:v>0.88</c:v>
                </c:pt>
                <c:pt idx="30">
                  <c:v>0.91</c:v>
                </c:pt>
                <c:pt idx="31">
                  <c:v>0.94</c:v>
                </c:pt>
                <c:pt idx="32">
                  <c:v>0.97</c:v>
                </c:pt>
                <c:pt idx="33">
                  <c:v>1</c:v>
                </c:pt>
                <c:pt idx="34">
                  <c:v>1.03</c:v>
                </c:pt>
                <c:pt idx="35">
                  <c:v>1.06</c:v>
                </c:pt>
                <c:pt idx="36">
                  <c:v>1.0900000000000001</c:v>
                </c:pt>
                <c:pt idx="37">
                  <c:v>1.1200000000000001</c:v>
                </c:pt>
                <c:pt idx="38">
                  <c:v>1.1499999999999999</c:v>
                </c:pt>
                <c:pt idx="39">
                  <c:v>1.18</c:v>
                </c:pt>
                <c:pt idx="40">
                  <c:v>1.21</c:v>
                </c:pt>
                <c:pt idx="41">
                  <c:v>1.24</c:v>
                </c:pt>
                <c:pt idx="42">
                  <c:v>1.27</c:v>
                </c:pt>
                <c:pt idx="43">
                  <c:v>1.3</c:v>
                </c:pt>
                <c:pt idx="44">
                  <c:v>1.33</c:v>
                </c:pt>
                <c:pt idx="45">
                  <c:v>1.36</c:v>
                </c:pt>
                <c:pt idx="46">
                  <c:v>1.39</c:v>
                </c:pt>
                <c:pt idx="47">
                  <c:v>1.42</c:v>
                </c:pt>
                <c:pt idx="48">
                  <c:v>1.45</c:v>
                </c:pt>
                <c:pt idx="49">
                  <c:v>1.48</c:v>
                </c:pt>
                <c:pt idx="50">
                  <c:v>1.51</c:v>
                </c:pt>
                <c:pt idx="51">
                  <c:v>1.54</c:v>
                </c:pt>
                <c:pt idx="52">
                  <c:v>1.57</c:v>
                </c:pt>
                <c:pt idx="53">
                  <c:v>1.6</c:v>
                </c:pt>
                <c:pt idx="54">
                  <c:v>1.63</c:v>
                </c:pt>
                <c:pt idx="55">
                  <c:v>1.66</c:v>
                </c:pt>
                <c:pt idx="56">
                  <c:v>1.69</c:v>
                </c:pt>
                <c:pt idx="57">
                  <c:v>1.72</c:v>
                </c:pt>
                <c:pt idx="58">
                  <c:v>1.75</c:v>
                </c:pt>
                <c:pt idx="59">
                  <c:v>1.78</c:v>
                </c:pt>
                <c:pt idx="60">
                  <c:v>1.81</c:v>
                </c:pt>
                <c:pt idx="61">
                  <c:v>1.84</c:v>
                </c:pt>
                <c:pt idx="62">
                  <c:v>1.87</c:v>
                </c:pt>
                <c:pt idx="63">
                  <c:v>1.9</c:v>
                </c:pt>
                <c:pt idx="64">
                  <c:v>1.93</c:v>
                </c:pt>
                <c:pt idx="65">
                  <c:v>1.96</c:v>
                </c:pt>
                <c:pt idx="66">
                  <c:v>1.99</c:v>
                </c:pt>
                <c:pt idx="67">
                  <c:v>2.02</c:v>
                </c:pt>
                <c:pt idx="68">
                  <c:v>2.0499999999999998</c:v>
                </c:pt>
                <c:pt idx="69">
                  <c:v>2.08</c:v>
                </c:pt>
                <c:pt idx="70">
                  <c:v>2.11</c:v>
                </c:pt>
                <c:pt idx="71">
                  <c:v>2.14</c:v>
                </c:pt>
                <c:pt idx="72">
                  <c:v>2.17</c:v>
                </c:pt>
                <c:pt idx="73">
                  <c:v>2.2000000000000002</c:v>
                </c:pt>
                <c:pt idx="74">
                  <c:v>2.23</c:v>
                </c:pt>
                <c:pt idx="75">
                  <c:v>2.2599999999999998</c:v>
                </c:pt>
                <c:pt idx="76">
                  <c:v>2.29</c:v>
                </c:pt>
                <c:pt idx="77">
                  <c:v>2.3199999999999998</c:v>
                </c:pt>
                <c:pt idx="78">
                  <c:v>2.35</c:v>
                </c:pt>
                <c:pt idx="79">
                  <c:v>2.38</c:v>
                </c:pt>
                <c:pt idx="80">
                  <c:v>2.41</c:v>
                </c:pt>
                <c:pt idx="81">
                  <c:v>2.44</c:v>
                </c:pt>
                <c:pt idx="82">
                  <c:v>2.4700000000000002</c:v>
                </c:pt>
                <c:pt idx="83">
                  <c:v>2.5</c:v>
                </c:pt>
                <c:pt idx="84">
                  <c:v>2.5299999999999998</c:v>
                </c:pt>
                <c:pt idx="85">
                  <c:v>2.56</c:v>
                </c:pt>
                <c:pt idx="86">
                  <c:v>2.59</c:v>
                </c:pt>
                <c:pt idx="87">
                  <c:v>2.62</c:v>
                </c:pt>
                <c:pt idx="88">
                  <c:v>2.65</c:v>
                </c:pt>
                <c:pt idx="89">
                  <c:v>2.68</c:v>
                </c:pt>
                <c:pt idx="90">
                  <c:v>2.71</c:v>
                </c:pt>
                <c:pt idx="91">
                  <c:v>2.74</c:v>
                </c:pt>
                <c:pt idx="92">
                  <c:v>2.77</c:v>
                </c:pt>
                <c:pt idx="93">
                  <c:v>2.8</c:v>
                </c:pt>
                <c:pt idx="94">
                  <c:v>2.83</c:v>
                </c:pt>
                <c:pt idx="95">
                  <c:v>2.86</c:v>
                </c:pt>
                <c:pt idx="96">
                  <c:v>2.89</c:v>
                </c:pt>
                <c:pt idx="97">
                  <c:v>2.92</c:v>
                </c:pt>
                <c:pt idx="98">
                  <c:v>2.95</c:v>
                </c:pt>
                <c:pt idx="99">
                  <c:v>2.98</c:v>
                </c:pt>
                <c:pt idx="100">
                  <c:v>3.01</c:v>
                </c:pt>
                <c:pt idx="101">
                  <c:v>3.04</c:v>
                </c:pt>
                <c:pt idx="102">
                  <c:v>3.07</c:v>
                </c:pt>
                <c:pt idx="103">
                  <c:v>3.1</c:v>
                </c:pt>
                <c:pt idx="104">
                  <c:v>3.13</c:v>
                </c:pt>
                <c:pt idx="105">
                  <c:v>3.16</c:v>
                </c:pt>
                <c:pt idx="106">
                  <c:v>3.19</c:v>
                </c:pt>
                <c:pt idx="107">
                  <c:v>3.22</c:v>
                </c:pt>
                <c:pt idx="108">
                  <c:v>3.25</c:v>
                </c:pt>
                <c:pt idx="109">
                  <c:v>3.28</c:v>
                </c:pt>
                <c:pt idx="110">
                  <c:v>3.31</c:v>
                </c:pt>
                <c:pt idx="111">
                  <c:v>3.34</c:v>
                </c:pt>
                <c:pt idx="112">
                  <c:v>3.37</c:v>
                </c:pt>
                <c:pt idx="113">
                  <c:v>3.4</c:v>
                </c:pt>
                <c:pt idx="114">
                  <c:v>3.43</c:v>
                </c:pt>
                <c:pt idx="115">
                  <c:v>3.46</c:v>
                </c:pt>
                <c:pt idx="116">
                  <c:v>3.49</c:v>
                </c:pt>
                <c:pt idx="117">
                  <c:v>3.52</c:v>
                </c:pt>
                <c:pt idx="118">
                  <c:v>3.55</c:v>
                </c:pt>
                <c:pt idx="119">
                  <c:v>3.58</c:v>
                </c:pt>
                <c:pt idx="120">
                  <c:v>3.61</c:v>
                </c:pt>
                <c:pt idx="121">
                  <c:v>3.64</c:v>
                </c:pt>
                <c:pt idx="122">
                  <c:v>3.67</c:v>
                </c:pt>
                <c:pt idx="123">
                  <c:v>3.7</c:v>
                </c:pt>
                <c:pt idx="124">
                  <c:v>3.73</c:v>
                </c:pt>
                <c:pt idx="125">
                  <c:v>3.76</c:v>
                </c:pt>
                <c:pt idx="126">
                  <c:v>3.79</c:v>
                </c:pt>
                <c:pt idx="127">
                  <c:v>3.82</c:v>
                </c:pt>
                <c:pt idx="128">
                  <c:v>3.85</c:v>
                </c:pt>
                <c:pt idx="129">
                  <c:v>3.88</c:v>
                </c:pt>
                <c:pt idx="130">
                  <c:v>3.91</c:v>
                </c:pt>
                <c:pt idx="131">
                  <c:v>3.94</c:v>
                </c:pt>
                <c:pt idx="132">
                  <c:v>3.97</c:v>
                </c:pt>
                <c:pt idx="133">
                  <c:v>4</c:v>
                </c:pt>
              </c:numCache>
            </c:numRef>
          </c:xVal>
          <c:yVal>
            <c:numRef>
              <c:f>'Fragility Data'!$C$2:$C$135</c:f>
              <c:numCache>
                <c:formatCode>0.0000</c:formatCode>
                <c:ptCount val="134"/>
                <c:pt idx="0">
                  <c:v>8.2844798952605461E-24</c:v>
                </c:pt>
                <c:pt idx="1">
                  <c:v>3.377932829281102E-11</c:v>
                </c:pt>
                <c:pt idx="2">
                  <c:v>1.4724480077795673E-7</c:v>
                </c:pt>
                <c:pt idx="3">
                  <c:v>1.1414753679947708E-5</c:v>
                </c:pt>
                <c:pt idx="4">
                  <c:v>1.7223035150147498E-4</c:v>
                </c:pt>
                <c:pt idx="5">
                  <c:v>1.1057859549786447E-3</c:v>
                </c:pt>
                <c:pt idx="6">
                  <c:v>4.2614920365876743E-3</c:v>
                </c:pt>
                <c:pt idx="7">
                  <c:v>1.1783704053746642E-2</c:v>
                </c:pt>
                <c:pt idx="8">
                  <c:v>2.5916049032396193E-2</c:v>
                </c:pt>
                <c:pt idx="9">
                  <c:v>4.8336249846012244E-2</c:v>
                </c:pt>
                <c:pt idx="10">
                  <c:v>7.9751185282364745E-2</c:v>
                </c:pt>
                <c:pt idx="11">
                  <c:v>0.11983462965992646</c:v>
                </c:pt>
                <c:pt idx="12">
                  <c:v>0.16741759725480215</c:v>
                </c:pt>
                <c:pt idx="13">
                  <c:v>0.22079336041719927</c:v>
                </c:pt>
                <c:pt idx="14">
                  <c:v>0.27802627027309179</c:v>
                </c:pt>
                <c:pt idx="15">
                  <c:v>0.33720192847647612</c:v>
                </c:pt>
                <c:pt idx="16">
                  <c:v>0.39659733203247954</c:v>
                </c:pt>
                <c:pt idx="17">
                  <c:v>0.45477510768464485</c:v>
                </c:pt>
                <c:pt idx="18">
                  <c:v>0.51061770136453144</c:v>
                </c:pt>
                <c:pt idx="19">
                  <c:v>0.56332011186101683</c:v>
                </c:pt>
                <c:pt idx="20">
                  <c:v>0.61235775468066045</c:v>
                </c:pt>
                <c:pt idx="21">
                  <c:v>0.65744224169325016</c:v>
                </c:pt>
                <c:pt idx="22">
                  <c:v>0.69847391329774955</c:v>
                </c:pt>
                <c:pt idx="23">
                  <c:v>0.73549661429569901</c:v>
                </c:pt>
                <c:pt idx="24">
                  <c:v>0.76865768557159286</c:v>
                </c:pt>
                <c:pt idx="25">
                  <c:v>0.79817440884771063</c:v>
                </c:pt>
                <c:pt idx="26">
                  <c:v>0.82430704392767695</c:v>
                </c:pt>
                <c:pt idx="27">
                  <c:v>0.84733797001367483</c:v>
                </c:pt>
                <c:pt idx="28">
                  <c:v>0.86755613693818945</c:v>
                </c:pt>
                <c:pt idx="29">
                  <c:v>0.88524593235598537</c:v>
                </c:pt>
                <c:pt idx="30">
                  <c:v>0.90067959284501886</c:v>
                </c:pt>
                <c:pt idx="31">
                  <c:v>0.91411237302808923</c:v>
                </c:pt>
                <c:pt idx="32">
                  <c:v>0.92577980029089524</c:v>
                </c:pt>
                <c:pt idx="33">
                  <c:v>0.93589646112400637</c:v>
                </c:pt>
                <c:pt idx="34">
                  <c:v>0.94465587618106128</c:v>
                </c:pt>
                <c:pt idx="35">
                  <c:v>0.95223111886866396</c:v>
                </c:pt>
                <c:pt idx="36">
                  <c:v>0.95877591464481249</c:v>
                </c:pt>
                <c:pt idx="37">
                  <c:v>0.96442602543706957</c:v>
                </c:pt>
                <c:pt idx="38">
                  <c:v>0.96930077710071771</c:v>
                </c:pt>
                <c:pt idx="39">
                  <c:v>0.97350462951531946</c:v>
                </c:pt>
                <c:pt idx="40">
                  <c:v>0.97712872075721136</c:v>
                </c:pt>
                <c:pt idx="41">
                  <c:v>0.98025234066000111</c:v>
                </c:pt>
                <c:pt idx="42">
                  <c:v>0.98294430664064192</c:v>
                </c:pt>
                <c:pt idx="43">
                  <c:v>0.98526422732749064</c:v>
                </c:pt>
                <c:pt idx="44">
                  <c:v>0.98726364843174008</c:v>
                </c:pt>
                <c:pt idx="45">
                  <c:v>0.98898708138091773</c:v>
                </c:pt>
                <c:pt idx="46">
                  <c:v>0.99047291921313385</c:v>
                </c:pt>
                <c:pt idx="47">
                  <c:v>0.9917542466803837</c:v>
                </c:pt>
                <c:pt idx="48">
                  <c:v>0.99285955286239813</c:v>
                </c:pt>
                <c:pt idx="49">
                  <c:v>0.99381335517708924</c:v>
                </c:pt>
                <c:pt idx="50">
                  <c:v>0.99463674373398481</c:v>
                </c:pt>
                <c:pt idx="51">
                  <c:v>0.99534785469305853</c:v>
                </c:pt>
                <c:pt idx="52">
                  <c:v>0.99596228079346982</c:v>
                </c:pt>
                <c:pt idx="53">
                  <c:v>0.99649342659799789</c:v>
                </c:pt>
                <c:pt idx="54">
                  <c:v>0.99695281532442326</c:v>
                </c:pt>
                <c:pt idx="55">
                  <c:v>0.99735035344913581</c:v>
                </c:pt>
                <c:pt idx="56">
                  <c:v>0.99769455860001133</c:v>
                </c:pt>
                <c:pt idx="57">
                  <c:v>0.99799275562333756</c:v>
                </c:pt>
                <c:pt idx="58">
                  <c:v>0.9982512451237695</c:v>
                </c:pt>
                <c:pt idx="59">
                  <c:v>0.99847544824197465</c:v>
                </c:pt>
                <c:pt idx="60">
                  <c:v>0.9986700309531481</c:v>
                </c:pt>
                <c:pt idx="61">
                  <c:v>0.99883901073983983</c:v>
                </c:pt>
                <c:pt idx="62">
                  <c:v>0.99898584811190461</c:v>
                </c:pt>
                <c:pt idx="63">
                  <c:v>0.99911352511137264</c:v>
                </c:pt>
                <c:pt idx="64">
                  <c:v>0.99922461264666496</c:v>
                </c:pt>
                <c:pt idx="65">
                  <c:v>0.99932132824478181</c:v>
                </c:pt>
                <c:pt idx="66">
                  <c:v>0.99940558558783499</c:v>
                </c:pt>
                <c:pt idx="67">
                  <c:v>0.99947903700776597</c:v>
                </c:pt>
                <c:pt idx="68">
                  <c:v>0.9995431099467158</c:v>
                </c:pt>
                <c:pt idx="69">
                  <c:v>0.99959903824704865</c:v>
                </c:pt>
                <c:pt idx="70">
                  <c:v>0.99964788901153445</c:v>
                </c:pt>
                <c:pt idx="71">
                  <c:v>0.99969058566804336</c:v>
                </c:pt>
                <c:pt idx="72">
                  <c:v>0.9997279277819715</c:v>
                </c:pt>
                <c:pt idx="73">
                  <c:v>0.9997606080814605</c:v>
                </c:pt>
                <c:pt idx="74">
                  <c:v>0.99978922709349305</c:v>
                </c:pt>
                <c:pt idx="75">
                  <c:v>0.99981430573158858</c:v>
                </c:pt>
                <c:pt idx="76">
                  <c:v>0.99983629612672975</c:v>
                </c:pt>
                <c:pt idx="77">
                  <c:v>0.99985559095113996</c:v>
                </c:pt>
                <c:pt idx="78">
                  <c:v>0.99987253144860866</c:v>
                </c:pt>
                <c:pt idx="79">
                  <c:v>0.99988741435433082</c:v>
                </c:pt>
                <c:pt idx="80">
                  <c:v>0.99990049786095181</c:v>
                </c:pt>
                <c:pt idx="81">
                  <c:v>0.99991200676504932</c:v>
                </c:pt>
                <c:pt idx="82">
                  <c:v>0.99992213690906473</c:v>
                </c:pt>
                <c:pt idx="83">
                  <c:v>0.9999310590172753</c:v>
                </c:pt>
                <c:pt idx="84">
                  <c:v>0.99993892201034396</c:v>
                </c:pt>
                <c:pt idx="85">
                  <c:v>0.99994585587096207</c:v>
                </c:pt>
                <c:pt idx="86">
                  <c:v>0.99995197412281944</c:v>
                </c:pt>
                <c:pt idx="87">
                  <c:v>0.99995737597632617</c:v>
                </c:pt>
                <c:pt idx="88">
                  <c:v>0.99996214818698004</c:v>
                </c:pt>
                <c:pt idx="89">
                  <c:v>0.99996636666581318</c:v>
                </c:pt>
                <c:pt idx="90">
                  <c:v>0.99997009787582236</c:v>
                </c:pt>
                <c:pt idx="91">
                  <c:v>0.9999734000435484</c:v>
                </c:pt>
                <c:pt idx="92">
                  <c:v>0.9999763242109011</c:v>
                </c:pt>
                <c:pt idx="93">
                  <c:v>0.99997891514884463</c:v>
                </c:pt>
                <c:pt idx="94">
                  <c:v>0.99998121215155966</c:v>
                </c:pt>
                <c:pt idx="95">
                  <c:v>0.99998324972713448</c:v>
                </c:pt>
                <c:pt idx="96">
                  <c:v>0.99998505819862549</c:v>
                </c:pt>
                <c:pt idx="97">
                  <c:v>0.99998666422743188</c:v>
                </c:pt>
                <c:pt idx="98">
                  <c:v>0.99998809126930055</c:v>
                </c:pt>
                <c:pt idx="99">
                  <c:v>0.99998935997186722</c:v>
                </c:pt>
                <c:pt idx="100">
                  <c:v>0.99999048852143912</c:v>
                </c:pt>
                <c:pt idx="101">
                  <c:v>0.99999149294567802</c:v>
                </c:pt>
                <c:pt idx="102">
                  <c:v>0.99999238737794949</c:v>
                </c:pt>
                <c:pt idx="103">
                  <c:v>0.99999318428832795</c:v>
                </c:pt>
                <c:pt idx="104">
                  <c:v>0.99999389468558486</c:v>
                </c:pt>
                <c:pt idx="105">
                  <c:v>0.99999452829390478</c:v>
                </c:pt>
                <c:pt idx="106">
                  <c:v>0.99999509370758477</c:v>
                </c:pt>
                <c:pt idx="107">
                  <c:v>0.99999559852653652</c:v>
                </c:pt>
                <c:pt idx="108">
                  <c:v>0.9999960494750425</c:v>
                </c:pt>
                <c:pt idx="109">
                  <c:v>0.99999645250589653</c:v>
                </c:pt>
                <c:pt idx="110">
                  <c:v>0.99999681289177778</c:v>
                </c:pt>
                <c:pt idx="111">
                  <c:v>0.99999713530546996</c:v>
                </c:pt>
                <c:pt idx="112">
                  <c:v>0.99999742389032775</c:v>
                </c:pt>
                <c:pt idx="113">
                  <c:v>0.9999976823222092</c:v>
                </c:pt>
                <c:pt idx="114">
                  <c:v>0.99999791386393966</c:v>
                </c:pt>
                <c:pt idx="115">
                  <c:v>0.9999981214132333</c:v>
                </c:pt>
                <c:pt idx="116">
                  <c:v>0.99999830754488161</c:v>
                </c:pt>
                <c:pt idx="117">
                  <c:v>0.99999847454791613</c:v>
                </c:pt>
                <c:pt idx="118">
                  <c:v>0.99999862445835963</c:v>
                </c:pt>
                <c:pt idx="119">
                  <c:v>0.9999987590881072</c:v>
                </c:pt>
                <c:pt idx="120">
                  <c:v>0.99999888005040705</c:v>
                </c:pt>
                <c:pt idx="121">
                  <c:v>0.99999898878235371</c:v>
                </c:pt>
                <c:pt idx="122">
                  <c:v>0.99999908656475422</c:v>
                </c:pt>
                <c:pt idx="123">
                  <c:v>0.99999917453968323</c:v>
                </c:pt>
                <c:pt idx="124">
                  <c:v>0.99999925372600473</c:v>
                </c:pt>
                <c:pt idx="125">
                  <c:v>0.99999932503310174</c:v>
                </c:pt>
                <c:pt idx="126">
                  <c:v>0.99999938927302801</c:v>
                </c:pt>
                <c:pt idx="127">
                  <c:v>0.99999944717126865</c:v>
                </c:pt>
                <c:pt idx="128">
                  <c:v>0.99999949937627342</c:v>
                </c:pt>
                <c:pt idx="129">
                  <c:v>0.99999954646790623</c:v>
                </c:pt>
                <c:pt idx="130">
                  <c:v>0.99999958896493912</c:v>
                </c:pt>
                <c:pt idx="131">
                  <c:v>0.999999627331702</c:v>
                </c:pt>
                <c:pt idx="132">
                  <c:v>0.99999966198398416</c:v>
                </c:pt>
                <c:pt idx="133">
                  <c:v>0.99999969329427685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6B-4013-A22F-1AFD31747989}"/>
            </c:ext>
          </c:extLst>
        </c:ser>
        <c:ser>
          <c:idx val="2"/>
          <c:order val="2"/>
          <c:tx>
            <c:strRef>
              <c:f>'Fragility Data'!$D$1</c:f>
              <c:strCache>
                <c:ptCount val="1"/>
                <c:pt idx="0">
                  <c:v>DS3 Extensive</c:v>
                </c:pt>
              </c:strCache>
            </c:strRef>
          </c:tx>
          <c:spPr>
            <a:ln w="20160">
              <a:solidFill>
                <a:srgbClr val="D9770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'Fragility Data'!$A$2:$A$135</c:f>
              <c:numCache>
                <c:formatCode>0.000</c:formatCode>
                <c:ptCount val="134"/>
                <c:pt idx="0">
                  <c:v>0.01</c:v>
                </c:pt>
                <c:pt idx="1">
                  <c:v>0.04</c:v>
                </c:pt>
                <c:pt idx="2">
                  <c:v>7.0000000000000007E-2</c:v>
                </c:pt>
                <c:pt idx="3">
                  <c:v>0.1</c:v>
                </c:pt>
                <c:pt idx="4">
                  <c:v>0.13</c:v>
                </c:pt>
                <c:pt idx="5">
                  <c:v>0.16</c:v>
                </c:pt>
                <c:pt idx="6">
                  <c:v>0.19</c:v>
                </c:pt>
                <c:pt idx="7">
                  <c:v>0.22</c:v>
                </c:pt>
                <c:pt idx="8">
                  <c:v>0.25</c:v>
                </c:pt>
                <c:pt idx="9">
                  <c:v>0.28000000000000003</c:v>
                </c:pt>
                <c:pt idx="10">
                  <c:v>0.31</c:v>
                </c:pt>
                <c:pt idx="11">
                  <c:v>0.34</c:v>
                </c:pt>
                <c:pt idx="12">
                  <c:v>0.37</c:v>
                </c:pt>
                <c:pt idx="13">
                  <c:v>0.4</c:v>
                </c:pt>
                <c:pt idx="14">
                  <c:v>0.43</c:v>
                </c:pt>
                <c:pt idx="15">
                  <c:v>0.46</c:v>
                </c:pt>
                <c:pt idx="16">
                  <c:v>0.49</c:v>
                </c:pt>
                <c:pt idx="17">
                  <c:v>0.52</c:v>
                </c:pt>
                <c:pt idx="18">
                  <c:v>0.55000000000000004</c:v>
                </c:pt>
                <c:pt idx="19">
                  <c:v>0.57999999999999996</c:v>
                </c:pt>
                <c:pt idx="20">
                  <c:v>0.61</c:v>
                </c:pt>
                <c:pt idx="21">
                  <c:v>0.64</c:v>
                </c:pt>
                <c:pt idx="22">
                  <c:v>0.67</c:v>
                </c:pt>
                <c:pt idx="23">
                  <c:v>0.7</c:v>
                </c:pt>
                <c:pt idx="24">
                  <c:v>0.73</c:v>
                </c:pt>
                <c:pt idx="25">
                  <c:v>0.76</c:v>
                </c:pt>
                <c:pt idx="26">
                  <c:v>0.79</c:v>
                </c:pt>
                <c:pt idx="27">
                  <c:v>0.82</c:v>
                </c:pt>
                <c:pt idx="28">
                  <c:v>0.85</c:v>
                </c:pt>
                <c:pt idx="29">
                  <c:v>0.88</c:v>
                </c:pt>
                <c:pt idx="30">
                  <c:v>0.91</c:v>
                </c:pt>
                <c:pt idx="31">
                  <c:v>0.94</c:v>
                </c:pt>
                <c:pt idx="32">
                  <c:v>0.97</c:v>
                </c:pt>
                <c:pt idx="33">
                  <c:v>1</c:v>
                </c:pt>
                <c:pt idx="34">
                  <c:v>1.03</c:v>
                </c:pt>
                <c:pt idx="35">
                  <c:v>1.06</c:v>
                </c:pt>
                <c:pt idx="36">
                  <c:v>1.0900000000000001</c:v>
                </c:pt>
                <c:pt idx="37">
                  <c:v>1.1200000000000001</c:v>
                </c:pt>
                <c:pt idx="38">
                  <c:v>1.1499999999999999</c:v>
                </c:pt>
                <c:pt idx="39">
                  <c:v>1.18</c:v>
                </c:pt>
                <c:pt idx="40">
                  <c:v>1.21</c:v>
                </c:pt>
                <c:pt idx="41">
                  <c:v>1.24</c:v>
                </c:pt>
                <c:pt idx="42">
                  <c:v>1.27</c:v>
                </c:pt>
                <c:pt idx="43">
                  <c:v>1.3</c:v>
                </c:pt>
                <c:pt idx="44">
                  <c:v>1.33</c:v>
                </c:pt>
                <c:pt idx="45">
                  <c:v>1.36</c:v>
                </c:pt>
                <c:pt idx="46">
                  <c:v>1.39</c:v>
                </c:pt>
                <c:pt idx="47">
                  <c:v>1.42</c:v>
                </c:pt>
                <c:pt idx="48">
                  <c:v>1.45</c:v>
                </c:pt>
                <c:pt idx="49">
                  <c:v>1.48</c:v>
                </c:pt>
                <c:pt idx="50">
                  <c:v>1.51</c:v>
                </c:pt>
                <c:pt idx="51">
                  <c:v>1.54</c:v>
                </c:pt>
                <c:pt idx="52">
                  <c:v>1.57</c:v>
                </c:pt>
                <c:pt idx="53">
                  <c:v>1.6</c:v>
                </c:pt>
                <c:pt idx="54">
                  <c:v>1.63</c:v>
                </c:pt>
                <c:pt idx="55">
                  <c:v>1.66</c:v>
                </c:pt>
                <c:pt idx="56">
                  <c:v>1.69</c:v>
                </c:pt>
                <c:pt idx="57">
                  <c:v>1.72</c:v>
                </c:pt>
                <c:pt idx="58">
                  <c:v>1.75</c:v>
                </c:pt>
                <c:pt idx="59">
                  <c:v>1.78</c:v>
                </c:pt>
                <c:pt idx="60">
                  <c:v>1.81</c:v>
                </c:pt>
                <c:pt idx="61">
                  <c:v>1.84</c:v>
                </c:pt>
                <c:pt idx="62">
                  <c:v>1.87</c:v>
                </c:pt>
                <c:pt idx="63">
                  <c:v>1.9</c:v>
                </c:pt>
                <c:pt idx="64">
                  <c:v>1.93</c:v>
                </c:pt>
                <c:pt idx="65">
                  <c:v>1.96</c:v>
                </c:pt>
                <c:pt idx="66">
                  <c:v>1.99</c:v>
                </c:pt>
                <c:pt idx="67">
                  <c:v>2.02</c:v>
                </c:pt>
                <c:pt idx="68">
                  <c:v>2.0499999999999998</c:v>
                </c:pt>
                <c:pt idx="69">
                  <c:v>2.08</c:v>
                </c:pt>
                <c:pt idx="70">
                  <c:v>2.11</c:v>
                </c:pt>
                <c:pt idx="71">
                  <c:v>2.14</c:v>
                </c:pt>
                <c:pt idx="72">
                  <c:v>2.17</c:v>
                </c:pt>
                <c:pt idx="73">
                  <c:v>2.2000000000000002</c:v>
                </c:pt>
                <c:pt idx="74">
                  <c:v>2.23</c:v>
                </c:pt>
                <c:pt idx="75">
                  <c:v>2.2599999999999998</c:v>
                </c:pt>
                <c:pt idx="76">
                  <c:v>2.29</c:v>
                </c:pt>
                <c:pt idx="77">
                  <c:v>2.3199999999999998</c:v>
                </c:pt>
                <c:pt idx="78">
                  <c:v>2.35</c:v>
                </c:pt>
                <c:pt idx="79">
                  <c:v>2.38</c:v>
                </c:pt>
                <c:pt idx="80">
                  <c:v>2.41</c:v>
                </c:pt>
                <c:pt idx="81">
                  <c:v>2.44</c:v>
                </c:pt>
                <c:pt idx="82">
                  <c:v>2.4700000000000002</c:v>
                </c:pt>
                <c:pt idx="83">
                  <c:v>2.5</c:v>
                </c:pt>
                <c:pt idx="84">
                  <c:v>2.5299999999999998</c:v>
                </c:pt>
                <c:pt idx="85">
                  <c:v>2.56</c:v>
                </c:pt>
                <c:pt idx="86">
                  <c:v>2.59</c:v>
                </c:pt>
                <c:pt idx="87">
                  <c:v>2.62</c:v>
                </c:pt>
                <c:pt idx="88">
                  <c:v>2.65</c:v>
                </c:pt>
                <c:pt idx="89">
                  <c:v>2.68</c:v>
                </c:pt>
                <c:pt idx="90">
                  <c:v>2.71</c:v>
                </c:pt>
                <c:pt idx="91">
                  <c:v>2.74</c:v>
                </c:pt>
                <c:pt idx="92">
                  <c:v>2.77</c:v>
                </c:pt>
                <c:pt idx="93">
                  <c:v>2.8</c:v>
                </c:pt>
                <c:pt idx="94">
                  <c:v>2.83</c:v>
                </c:pt>
                <c:pt idx="95">
                  <c:v>2.86</c:v>
                </c:pt>
                <c:pt idx="96">
                  <c:v>2.89</c:v>
                </c:pt>
                <c:pt idx="97">
                  <c:v>2.92</c:v>
                </c:pt>
                <c:pt idx="98">
                  <c:v>2.95</c:v>
                </c:pt>
                <c:pt idx="99">
                  <c:v>2.98</c:v>
                </c:pt>
                <c:pt idx="100">
                  <c:v>3.01</c:v>
                </c:pt>
                <c:pt idx="101">
                  <c:v>3.04</c:v>
                </c:pt>
                <c:pt idx="102">
                  <c:v>3.07</c:v>
                </c:pt>
                <c:pt idx="103">
                  <c:v>3.1</c:v>
                </c:pt>
                <c:pt idx="104">
                  <c:v>3.13</c:v>
                </c:pt>
                <c:pt idx="105">
                  <c:v>3.16</c:v>
                </c:pt>
                <c:pt idx="106">
                  <c:v>3.19</c:v>
                </c:pt>
                <c:pt idx="107">
                  <c:v>3.22</c:v>
                </c:pt>
                <c:pt idx="108">
                  <c:v>3.25</c:v>
                </c:pt>
                <c:pt idx="109">
                  <c:v>3.28</c:v>
                </c:pt>
                <c:pt idx="110">
                  <c:v>3.31</c:v>
                </c:pt>
                <c:pt idx="111">
                  <c:v>3.34</c:v>
                </c:pt>
                <c:pt idx="112">
                  <c:v>3.37</c:v>
                </c:pt>
                <c:pt idx="113">
                  <c:v>3.4</c:v>
                </c:pt>
                <c:pt idx="114">
                  <c:v>3.43</c:v>
                </c:pt>
                <c:pt idx="115">
                  <c:v>3.46</c:v>
                </c:pt>
                <c:pt idx="116">
                  <c:v>3.49</c:v>
                </c:pt>
                <c:pt idx="117">
                  <c:v>3.52</c:v>
                </c:pt>
                <c:pt idx="118">
                  <c:v>3.55</c:v>
                </c:pt>
                <c:pt idx="119">
                  <c:v>3.58</c:v>
                </c:pt>
                <c:pt idx="120">
                  <c:v>3.61</c:v>
                </c:pt>
                <c:pt idx="121">
                  <c:v>3.64</c:v>
                </c:pt>
                <c:pt idx="122">
                  <c:v>3.67</c:v>
                </c:pt>
                <c:pt idx="123">
                  <c:v>3.7</c:v>
                </c:pt>
                <c:pt idx="124">
                  <c:v>3.73</c:v>
                </c:pt>
                <c:pt idx="125">
                  <c:v>3.76</c:v>
                </c:pt>
                <c:pt idx="126">
                  <c:v>3.79</c:v>
                </c:pt>
                <c:pt idx="127">
                  <c:v>3.82</c:v>
                </c:pt>
                <c:pt idx="128">
                  <c:v>3.85</c:v>
                </c:pt>
                <c:pt idx="129">
                  <c:v>3.88</c:v>
                </c:pt>
                <c:pt idx="130">
                  <c:v>3.91</c:v>
                </c:pt>
                <c:pt idx="131">
                  <c:v>3.94</c:v>
                </c:pt>
                <c:pt idx="132">
                  <c:v>3.97</c:v>
                </c:pt>
                <c:pt idx="133">
                  <c:v>4</c:v>
                </c:pt>
              </c:numCache>
            </c:numRef>
          </c:xVal>
          <c:yVal>
            <c:numRef>
              <c:f>'Fragility Data'!$D$2:$D$135</c:f>
              <c:numCache>
                <c:formatCode>0.0000</c:formatCode>
                <c:ptCount val="134"/>
                <c:pt idx="0">
                  <c:v>8.7666909589908974E-33</c:v>
                </c:pt>
                <c:pt idx="1">
                  <c:v>2.2056179698380711E-17</c:v>
                </c:pt>
                <c:pt idx="2">
                  <c:v>1.2582758433463954E-12</c:v>
                </c:pt>
                <c:pt idx="3">
                  <c:v>4.9600651110534542E-10</c:v>
                </c:pt>
                <c:pt idx="4">
                  <c:v>2.4516849995242999E-8</c:v>
                </c:pt>
                <c:pt idx="5">
                  <c:v>3.9935800490576273E-7</c:v>
                </c:pt>
                <c:pt idx="6">
                  <c:v>3.3021945269348861E-6</c:v>
                </c:pt>
                <c:pt idx="7">
                  <c:v>1.7399646363070665E-5</c:v>
                </c:pt>
                <c:pt idx="8">
                  <c:v>6.6735804079048235E-5</c:v>
                </c:pt>
                <c:pt idx="9">
                  <c:v>2.0262471586157262E-4</c:v>
                </c:pt>
                <c:pt idx="10">
                  <c:v>5.1503053374384164E-4</c:v>
                </c:pt>
                <c:pt idx="11">
                  <c:v>1.1394483442150947E-3</c:v>
                </c:pt>
                <c:pt idx="12">
                  <c:v>2.2566814148596301E-3</c:v>
                </c:pt>
                <c:pt idx="13">
                  <c:v>4.0851001076397195E-3</c:v>
                </c:pt>
                <c:pt idx="14">
                  <c:v>6.86688450991149E-3</c:v>
                </c:pt>
                <c:pt idx="15">
                  <c:v>1.0850834237816733E-2</c:v>
                </c:pt>
                <c:pt idx="16">
                  <c:v>1.6274530602338314E-2</c:v>
                </c:pt>
                <c:pt idx="17">
                  <c:v>2.3348205009610237E-2</c:v>
                </c:pt>
                <c:pt idx="18">
                  <c:v>3.2241921646962941E-2</c:v>
                </c:pt>
                <c:pt idx="19">
                  <c:v>4.3076885380318695E-2</c:v>
                </c:pt>
                <c:pt idx="20">
                  <c:v>5.5921002242514638E-2</c:v>
                </c:pt>
                <c:pt idx="21">
                  <c:v>7.0788323487310206E-2</c:v>
                </c:pt>
                <c:pt idx="22">
                  <c:v>8.7641703757930942E-2</c:v>
                </c:pt>
                <c:pt idx="23">
                  <c:v>0.10639787167881712</c:v>
                </c:pt>
                <c:pt idx="24">
                  <c:v>0.12693410449737674</c:v>
                </c:pt>
                <c:pt idx="25">
                  <c:v>0.14909577373285121</c:v>
                </c:pt>
                <c:pt idx="26">
                  <c:v>0.17270414894416977</c:v>
                </c:pt>
                <c:pt idx="27">
                  <c:v>0.19756398355961877</c:v>
                </c:pt>
                <c:pt idx="28">
                  <c:v>0.22347054107086411</c:v>
                </c:pt>
                <c:pt idx="29">
                  <c:v>0.25021584026556731</c:v>
                </c:pt>
                <c:pt idx="30">
                  <c:v>0.27759399885618563</c:v>
                </c:pt>
                <c:pt idx="31">
                  <c:v>0.30540563421127243</c:v>
                </c:pt>
                <c:pt idx="32">
                  <c:v>0.33346133883552731</c:v>
                </c:pt>
                <c:pt idx="33">
                  <c:v>0.36158428914055851</c:v>
                </c:pt>
                <c:pt idx="34">
                  <c:v>0.38961207190078401</c:v>
                </c:pt>
                <c:pt idx="35">
                  <c:v>0.4173978267089305</c:v>
                </c:pt>
                <c:pt idx="36">
                  <c:v>0.44481080763885372</c:v>
                </c:pt>
                <c:pt idx="37">
                  <c:v>0.47173646572625511</c:v>
                </c:pt>
                <c:pt idx="38">
                  <c:v>0.49807614789505156</c:v>
                </c:pt>
                <c:pt idx="39">
                  <c:v>0.52374649926245498</c:v>
                </c:pt>
                <c:pt idx="40">
                  <c:v>0.54867864562909874</c:v>
                </c:pt>
                <c:pt idx="41">
                  <c:v>0.57281722234168209</c:v>
                </c:pt>
                <c:pt idx="42">
                  <c:v>0.59611930526383516</c:v>
                </c:pt>
                <c:pt idx="43">
                  <c:v>0.61855328974216106</c:v>
                </c:pt>
                <c:pt idx="44">
                  <c:v>0.64009775447270434</c:v>
                </c:pt>
                <c:pt idx="45">
                  <c:v>0.66074033919447361</c:v>
                </c:pt>
                <c:pt idx="46">
                  <c:v>0.68047665820530456</c:v>
                </c:pt>
                <c:pt idx="47">
                  <c:v>0.69930926579225261</c:v>
                </c:pt>
                <c:pt idx="48">
                  <c:v>0.7172466847338328</c:v>
                </c:pt>
                <c:pt idx="49">
                  <c:v>0.73430250498041494</c:v>
                </c:pt>
                <c:pt idx="50">
                  <c:v>0.75049455635538631</c:v>
                </c:pt>
                <c:pt idx="51">
                  <c:v>0.76584415654314897</c:v>
                </c:pt>
                <c:pt idx="52">
                  <c:v>0.78037543364266804</c:v>
                </c:pt>
                <c:pt idx="53">
                  <c:v>0.79411472107506953</c:v>
                </c:pt>
                <c:pt idx="54">
                  <c:v>0.80709002155666765</c:v>
                </c:pt>
                <c:pt idx="55">
                  <c:v>0.81933053610987783</c:v>
                </c:pt>
                <c:pt idx="56">
                  <c:v>0.83086625361814803</c:v>
                </c:pt>
                <c:pt idx="57">
                  <c:v>0.84172759618087989</c:v>
                </c:pt>
                <c:pt idx="58">
                  <c:v>0.85194511544236995</c:v>
                </c:pt>
                <c:pt idx="59">
                  <c:v>0.86154923511496384</c:v>
                </c:pt>
                <c:pt idx="60">
                  <c:v>0.87057003505766295</c:v>
                </c:pt>
                <c:pt idx="61">
                  <c:v>0.87903707248027285</c:v>
                </c:pt>
                <c:pt idx="62">
                  <c:v>0.88697923609794815</c:v>
                </c:pt>
                <c:pt idx="63">
                  <c:v>0.89442462934431588</c:v>
                </c:pt>
                <c:pt idx="64">
                  <c:v>0.90140047904961396</c:v>
                </c:pt>
                <c:pt idx="65">
                  <c:v>0.90793306629300918</c:v>
                </c:pt>
                <c:pt idx="66">
                  <c:v>0.91404767643756124</c:v>
                </c:pt>
                <c:pt idx="67">
                  <c:v>0.91976856564640053</c:v>
                </c:pt>
                <c:pt idx="68">
                  <c:v>0.92511894145550932</c:v>
                </c:pt>
                <c:pt idx="69">
                  <c:v>0.93012095523931515</c:v>
                </c:pt>
                <c:pt idx="70">
                  <c:v>0.93479570464845629</c:v>
                </c:pt>
                <c:pt idx="71">
                  <c:v>0.93916324432373854</c:v>
                </c:pt>
                <c:pt idx="72">
                  <c:v>0.94324260339625465</c:v>
                </c:pt>
                <c:pt idx="73">
                  <c:v>0.94705180847116388</c:v>
                </c:pt>
                <c:pt idx="74">
                  <c:v>0.95060791096231501</c:v>
                </c:pt>
                <c:pt idx="75">
                  <c:v>0.95392701779760802</c:v>
                </c:pt>
                <c:pt idx="76">
                  <c:v>0.95702432465170439</c:v>
                </c:pt>
                <c:pt idx="77">
                  <c:v>0.95991415098452237</c:v>
                </c:pt>
                <c:pt idx="78">
                  <c:v>0.96260997627201694</c:v>
                </c:pt>
                <c:pt idx="79">
                  <c:v>0.96512447691118974</c:v>
                </c:pt>
                <c:pt idx="80">
                  <c:v>0.96746956336522216</c:v>
                </c:pt>
                <c:pt idx="81">
                  <c:v>0.96965641718816042</c:v>
                </c:pt>
                <c:pt idx="82">
                  <c:v>0.97169552763272726</c:v>
                </c:pt>
                <c:pt idx="83">
                  <c:v>0.97359672760056326</c:v>
                </c:pt>
                <c:pt idx="84">
                  <c:v>0.97536922874240739</c:v>
                </c:pt>
                <c:pt idx="85">
                  <c:v>0.97702165555724041</c:v>
                </c:pt>
                <c:pt idx="86">
                  <c:v>0.97856207837500586</c:v>
                </c:pt>
                <c:pt idx="87">
                  <c:v>0.97999804513787248</c:v>
                </c:pt>
                <c:pt idx="88">
                  <c:v>0.98133661192074728</c:v>
                </c:pt>
                <c:pt idx="89">
                  <c:v>0.98258437215345762</c:v>
                </c:pt>
                <c:pt idx="90">
                  <c:v>0.98374748452519278</c:v>
                </c:pt>
                <c:pt idx="91">
                  <c:v>0.98483169956689953</c:v>
                </c:pt>
                <c:pt idx="92">
                  <c:v>0.98584238491975862</c:v>
                </c:pt>
                <c:pt idx="93">
                  <c:v>0.98678454930799342</c:v>
                </c:pt>
                <c:pt idx="94">
                  <c:v>0.9876628652423991</c:v>
                </c:pt>
                <c:pt idx="95">
                  <c:v>0.98848169048741052</c:v>
                </c:pt>
                <c:pt idx="96">
                  <c:v>0.98924508832949498</c:v>
                </c:pt>
                <c:pt idx="97">
                  <c:v>0.98995684668838924</c:v>
                </c:pt>
                <c:pt idx="98">
                  <c:v>0.99062049611537339</c:v>
                </c:pt>
                <c:pt idx="99">
                  <c:v>0.99123932672456971</c:v>
                </c:pt>
                <c:pt idx="100">
                  <c:v>0.99181640410430594</c:v>
                </c:pt>
                <c:pt idx="101">
                  <c:v>0.99235458425601741</c:v>
                </c:pt>
                <c:pt idx="102">
                  <c:v>0.99285652760809207</c:v>
                </c:pt>
                <c:pt idx="103">
                  <c:v>0.99332471215158036</c:v>
                </c:pt>
                <c:pt idx="104">
                  <c:v>0.99376144574386749</c:v>
                </c:pt>
                <c:pt idx="105">
                  <c:v>0.99416887762532979</c:v>
                </c:pt>
                <c:pt idx="106">
                  <c:v>0.99454900919270084</c:v>
                </c:pt>
                <c:pt idx="107">
                  <c:v>0.99490370407143081</c:v>
                </c:pt>
                <c:pt idx="108">
                  <c:v>0.99523469752776073</c:v>
                </c:pt>
                <c:pt idx="109">
                  <c:v>0.99554360525959218</c:v>
                </c:pt>
                <c:pt idx="110">
                  <c:v>0.99583193160354666</c:v>
                </c:pt>
                <c:pt idx="111">
                  <c:v>0.99610107719389207</c:v>
                </c:pt>
                <c:pt idx="112">
                  <c:v>0.99635234610729595</c:v>
                </c:pt>
                <c:pt idx="113">
                  <c:v>0.99658695252565954</c:v>
                </c:pt>
                <c:pt idx="114">
                  <c:v>0.99680602694760401</c:v>
                </c:pt>
                <c:pt idx="115">
                  <c:v>0.99701062197753532</c:v>
                </c:pt>
                <c:pt idx="116">
                  <c:v>0.99720171771961308</c:v>
                </c:pt>
                <c:pt idx="117">
                  <c:v>0.99738022680240024</c:v>
                </c:pt>
                <c:pt idx="118">
                  <c:v>0.9975469990584741</c:v>
                </c:pt>
                <c:pt idx="119">
                  <c:v>0.99770282588184289</c:v>
                </c:pt>
                <c:pt idx="120">
                  <c:v>0.99784844428464048</c:v>
                </c:pt>
                <c:pt idx="121">
                  <c:v>0.99798454067325681</c:v>
                </c:pt>
                <c:pt idx="122">
                  <c:v>0.99811175436281063</c:v>
                </c:pt>
                <c:pt idx="123">
                  <c:v>0.99823068084768796</c:v>
                </c:pt>
                <c:pt idx="124">
                  <c:v>0.99834187484473902</c:v>
                </c:pt>
                <c:pt idx="125">
                  <c:v>0.99844585312466239</c:v>
                </c:pt>
                <c:pt idx="126">
                  <c:v>0.99854309714610068</c:v>
                </c:pt>
                <c:pt idx="127">
                  <c:v>0.99863405550601669</c:v>
                </c:pt>
                <c:pt idx="128">
                  <c:v>0.99871914621902991</c:v>
                </c:pt>
                <c:pt idx="129">
                  <c:v>0.9987987588375481</c:v>
                </c:pt>
                <c:pt idx="130">
                  <c:v>0.99887325642373637</c:v>
                </c:pt>
                <c:pt idx="131">
                  <c:v>0.99894297738362736</c:v>
                </c:pt>
                <c:pt idx="132">
                  <c:v>0.99900823717297416</c:v>
                </c:pt>
                <c:pt idx="133">
                  <c:v>0.99906932988379982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A6B-4013-A22F-1AFD31747989}"/>
            </c:ext>
          </c:extLst>
        </c:ser>
        <c:ser>
          <c:idx val="3"/>
          <c:order val="3"/>
          <c:tx>
            <c:v>Site PGA</c:v>
          </c:tx>
          <c:marker>
            <c:symbol val="none"/>
          </c:marker>
          <c:xVal>
            <c:numRef>
              <c:f>Calculator!$D$25</c:f>
              <c:numCache>
                <c:formatCode>General</c:formatCode>
                <c:ptCount val="1"/>
                <c:pt idx="0">
                  <c:v>0.3</c:v>
                </c:pt>
              </c:numCache>
            </c:numRef>
          </c:xVal>
          <c:yVal>
            <c:numRef>
              <c:f>'Fragility Data'!$J$1:$J$2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DF-4403-9E0D-84C928370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2132"/>
        <c:axId val="3491576"/>
      </c:scatterChart>
      <c:valAx>
        <c:axId val="17772132"/>
        <c:scaling>
          <c:orientation val="minMax"/>
          <c:max val="3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PGA (g)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\g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491576"/>
        <c:crosses val="autoZero"/>
        <c:crossBetween val="midCat"/>
      </c:valAx>
      <c:valAx>
        <c:axId val="349157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P(DS ≥ ds | PGA)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777213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5</xdr:row>
      <xdr:rowOff>0</xdr:rowOff>
    </xdr:from>
    <xdr:ext cx="7553700" cy="50397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024CF2-A9B2-4AEC-96D8-67F7117E91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W80"/>
  <sheetViews>
    <sheetView showGridLines="0" tabSelected="1" zoomScale="84" zoomScaleNormal="100" workbookViewId="0">
      <selection activeCell="X12" sqref="X12"/>
    </sheetView>
  </sheetViews>
  <sheetFormatPr defaultColWidth="8.7109375" defaultRowHeight="15" x14ac:dyDescent="0.25"/>
  <cols>
    <col min="1" max="1" width="2" customWidth="1"/>
    <col min="2" max="2" width="24" customWidth="1"/>
    <col min="3" max="3" width="14" customWidth="1"/>
    <col min="4" max="4" width="19.5703125" bestFit="1" customWidth="1"/>
    <col min="5" max="5" width="5.42578125" bestFit="1" customWidth="1"/>
    <col min="6" max="6" width="24" customWidth="1"/>
    <col min="7" max="7" width="14" customWidth="1"/>
    <col min="8" max="8" width="33" bestFit="1" customWidth="1"/>
    <col min="9" max="9" width="14" customWidth="1"/>
    <col min="10" max="10" width="2" customWidth="1"/>
    <col min="23" max="23" width="3.85546875" customWidth="1"/>
  </cols>
  <sheetData>
    <row r="1" spans="2:23" ht="31.5" customHeight="1" x14ac:dyDescent="0.25">
      <c r="B1" s="76" t="s">
        <v>0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</row>
    <row r="2" spans="2:23" ht="19.5" customHeight="1" x14ac:dyDescent="0.25">
      <c r="B2" s="88" t="s">
        <v>1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</row>
    <row r="3" spans="2:23" ht="9.75" customHeight="1" x14ac:dyDescent="0.25"/>
    <row r="4" spans="2:23" ht="19.5" customHeight="1" x14ac:dyDescent="0.25">
      <c r="B4" s="77" t="s">
        <v>2</v>
      </c>
      <c r="C4" s="77"/>
      <c r="D4" s="77"/>
      <c r="E4" s="77"/>
      <c r="F4" s="77"/>
      <c r="G4" s="77"/>
      <c r="H4" s="77"/>
      <c r="I4" s="77"/>
      <c r="K4" s="78" t="s">
        <v>132</v>
      </c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</row>
    <row r="5" spans="2:23" ht="18" customHeight="1" x14ac:dyDescent="0.25">
      <c r="B5" s="63" t="s">
        <v>3</v>
      </c>
      <c r="C5" s="63"/>
      <c r="D5" s="86"/>
      <c r="E5" s="86"/>
      <c r="F5" s="86"/>
      <c r="G5" s="51" t="s">
        <v>4</v>
      </c>
      <c r="H5" s="64">
        <f ca="1">TODAY()</f>
        <v>46199</v>
      </c>
      <c r="I5" s="64"/>
      <c r="K5" s="61" t="s">
        <v>133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</row>
    <row r="6" spans="2:23" ht="18" customHeight="1" x14ac:dyDescent="0.25">
      <c r="B6" s="63" t="s">
        <v>5</v>
      </c>
      <c r="C6" s="63"/>
      <c r="D6" s="87"/>
      <c r="E6" s="87"/>
      <c r="F6" s="87"/>
      <c r="G6" s="51" t="s">
        <v>6</v>
      </c>
      <c r="H6" s="75" t="s">
        <v>7</v>
      </c>
      <c r="I6" s="75"/>
    </row>
    <row r="7" spans="2:23" ht="18" customHeight="1" x14ac:dyDescent="0.25">
      <c r="B7" s="63" t="s">
        <v>8</v>
      </c>
      <c r="C7" s="63"/>
      <c r="D7" s="86"/>
      <c r="E7" s="86"/>
      <c r="F7" s="86"/>
      <c r="G7" s="86"/>
      <c r="H7" s="86"/>
      <c r="I7" s="86"/>
    </row>
    <row r="8" spans="2:23" ht="18" customHeight="1" x14ac:dyDescent="0.25">
      <c r="B8" s="63" t="s">
        <v>9</v>
      </c>
      <c r="C8" s="63"/>
      <c r="D8" s="86"/>
      <c r="E8" s="86"/>
      <c r="F8" s="86"/>
      <c r="G8" s="86"/>
      <c r="H8" s="86"/>
      <c r="I8" s="86"/>
    </row>
    <row r="9" spans="2:23" ht="18" customHeight="1" x14ac:dyDescent="0.25">
      <c r="B9" s="63" t="s">
        <v>10</v>
      </c>
      <c r="C9" s="63"/>
      <c r="D9" s="86"/>
      <c r="E9" s="86"/>
      <c r="F9" s="86"/>
      <c r="G9" s="86"/>
      <c r="H9" s="86"/>
      <c r="I9" s="86"/>
    </row>
    <row r="10" spans="2:23" ht="7.5" customHeight="1" x14ac:dyDescent="0.25"/>
    <row r="11" spans="2:23" ht="19.5" customHeight="1" x14ac:dyDescent="0.25">
      <c r="B11" s="77" t="s">
        <v>11</v>
      </c>
      <c r="C11" s="77"/>
      <c r="D11" s="77"/>
      <c r="E11" s="77"/>
      <c r="F11" s="77" t="s">
        <v>12</v>
      </c>
      <c r="G11" s="77"/>
      <c r="H11" s="77"/>
      <c r="I11" s="77"/>
    </row>
    <row r="12" spans="2:23" ht="19.5" customHeight="1" x14ac:dyDescent="0.25">
      <c r="B12" s="85" t="s">
        <v>13</v>
      </c>
      <c r="C12" s="85" t="s">
        <v>14</v>
      </c>
      <c r="D12" s="85" t="s">
        <v>15</v>
      </c>
      <c r="E12" s="85" t="s">
        <v>16</v>
      </c>
      <c r="F12" s="85" t="s">
        <v>17</v>
      </c>
      <c r="G12" s="85" t="s">
        <v>15</v>
      </c>
      <c r="H12" s="85" t="s">
        <v>18</v>
      </c>
      <c r="I12" s="85" t="s">
        <v>19</v>
      </c>
    </row>
    <row r="13" spans="2:23" ht="18" customHeight="1" x14ac:dyDescent="0.25">
      <c r="B13" s="4" t="s">
        <v>20</v>
      </c>
      <c r="C13" s="6" t="s">
        <v>21</v>
      </c>
      <c r="D13" s="7">
        <v>5</v>
      </c>
      <c r="E13" s="8" t="s">
        <v>22</v>
      </c>
      <c r="F13" s="4" t="s">
        <v>23</v>
      </c>
      <c r="G13" s="9">
        <f>0.075*D14^0.75</f>
        <v>0.57164934167394155</v>
      </c>
      <c r="H13" s="8" t="s">
        <v>24</v>
      </c>
      <c r="I13" s="8" t="s">
        <v>24</v>
      </c>
    </row>
    <row r="14" spans="2:23" ht="18" customHeight="1" x14ac:dyDescent="0.25">
      <c r="B14" s="4" t="s">
        <v>25</v>
      </c>
      <c r="C14" s="6" t="s">
        <v>26</v>
      </c>
      <c r="D14" s="7">
        <f>D13*3</f>
        <v>15</v>
      </c>
      <c r="E14" s="8" t="s">
        <v>27</v>
      </c>
      <c r="F14" s="4" t="s">
        <v>28</v>
      </c>
      <c r="G14" s="9">
        <f>G13*SQRT(9.81/D14)</f>
        <v>0.46229434592357715</v>
      </c>
      <c r="H14" s="10" t="s">
        <v>29</v>
      </c>
      <c r="I14" s="11" t="str">
        <f>IF(AND(G14&gt;=0.174,G14&lt;=1.486),"In Domain","⚠ Out of Domain")</f>
        <v>In Domain</v>
      </c>
    </row>
    <row r="15" spans="2:23" ht="18" customHeight="1" x14ac:dyDescent="0.25">
      <c r="B15" s="4" t="s">
        <v>30</v>
      </c>
      <c r="C15" s="6" t="s">
        <v>31</v>
      </c>
      <c r="D15" s="7">
        <v>12</v>
      </c>
      <c r="E15" s="8" t="s">
        <v>27</v>
      </c>
      <c r="F15" s="4" t="s">
        <v>32</v>
      </c>
      <c r="G15" s="9">
        <f>(D17*D18^3/(D19*D20^3))*(D27/D14)^3</f>
        <v>0.57535034293552845</v>
      </c>
      <c r="H15" s="10" t="s">
        <v>33</v>
      </c>
      <c r="I15" s="11" t="str">
        <f>IF(AND(G15&gt;=0.004,G15&lt;=13.053),"In Domain","⚠ Out of Domain")</f>
        <v>In Domain</v>
      </c>
    </row>
    <row r="16" spans="2:23" ht="18" customHeight="1" x14ac:dyDescent="0.25">
      <c r="B16" s="4" t="s">
        <v>34</v>
      </c>
      <c r="C16" s="6" t="s">
        <v>35</v>
      </c>
      <c r="D16" s="7">
        <v>12</v>
      </c>
      <c r="E16" s="8" t="s">
        <v>27</v>
      </c>
      <c r="F16" s="4" t="s">
        <v>36</v>
      </c>
      <c r="G16" s="9">
        <f>(D14/D27)*(1-D29)</f>
        <v>1.2228260869565217</v>
      </c>
      <c r="H16" s="10" t="s">
        <v>37</v>
      </c>
      <c r="I16" s="11" t="str">
        <f>IF(AND(G16&gt;=0.125,G16&lt;=4.839),"In Domain","⚠ Out of Domain")</f>
        <v>In Domain</v>
      </c>
    </row>
    <row r="17" spans="2:23" x14ac:dyDescent="0.25">
      <c r="B17" s="4" t="s">
        <v>38</v>
      </c>
      <c r="C17" s="6" t="s">
        <v>39</v>
      </c>
      <c r="D17" s="7">
        <v>0.4</v>
      </c>
      <c r="E17" s="8" t="s">
        <v>27</v>
      </c>
      <c r="F17" s="79" t="s">
        <v>42</v>
      </c>
      <c r="G17" s="79"/>
      <c r="H17" s="79"/>
      <c r="I17" s="79"/>
    </row>
    <row r="18" spans="2:23" ht="18" customHeight="1" x14ac:dyDescent="0.25">
      <c r="B18" s="4" t="s">
        <v>40</v>
      </c>
      <c r="C18" s="6" t="s">
        <v>41</v>
      </c>
      <c r="D18" s="7">
        <v>0.4</v>
      </c>
      <c r="E18" s="8" t="s">
        <v>27</v>
      </c>
      <c r="F18" s="12" t="s">
        <v>45</v>
      </c>
      <c r="G18" s="3" t="s">
        <v>46</v>
      </c>
      <c r="H18" s="3"/>
      <c r="I18" s="3"/>
    </row>
    <row r="19" spans="2:23" ht="18" customHeight="1" x14ac:dyDescent="0.25">
      <c r="B19" s="4" t="s">
        <v>43</v>
      </c>
      <c r="C19" s="6" t="s">
        <v>44</v>
      </c>
      <c r="D19" s="7">
        <v>0.25</v>
      </c>
      <c r="E19" s="8" t="s">
        <v>27</v>
      </c>
      <c r="F19" s="12" t="s">
        <v>49</v>
      </c>
      <c r="G19" s="3" t="s">
        <v>50</v>
      </c>
      <c r="H19" s="3"/>
      <c r="I19" s="3"/>
    </row>
    <row r="20" spans="2:23" ht="18" customHeight="1" x14ac:dyDescent="0.25">
      <c r="B20" s="4" t="s">
        <v>47</v>
      </c>
      <c r="C20" s="6" t="s">
        <v>48</v>
      </c>
      <c r="D20" s="7">
        <v>0.45</v>
      </c>
      <c r="E20" s="8" t="s">
        <v>27</v>
      </c>
      <c r="F20" s="12" t="s">
        <v>53</v>
      </c>
      <c r="G20" s="3" t="s">
        <v>54</v>
      </c>
      <c r="H20" s="3"/>
      <c r="I20" s="3"/>
    </row>
    <row r="21" spans="2:23" ht="18" customHeight="1" x14ac:dyDescent="0.25">
      <c r="B21" s="4" t="s">
        <v>51</v>
      </c>
      <c r="C21" s="6" t="s">
        <v>52</v>
      </c>
      <c r="D21" s="7">
        <v>3</v>
      </c>
      <c r="E21" s="8" t="s">
        <v>22</v>
      </c>
      <c r="F21" s="12" t="s">
        <v>57</v>
      </c>
      <c r="G21" s="3" t="s">
        <v>58</v>
      </c>
      <c r="H21" s="3"/>
      <c r="I21" s="3"/>
    </row>
    <row r="22" spans="2:23" ht="18" customHeight="1" x14ac:dyDescent="0.25">
      <c r="B22" s="4" t="s">
        <v>55</v>
      </c>
      <c r="C22" s="6" t="s">
        <v>56</v>
      </c>
      <c r="D22" s="7">
        <v>3</v>
      </c>
      <c r="E22" s="8" t="s">
        <v>22</v>
      </c>
      <c r="F22" s="12" t="s">
        <v>61</v>
      </c>
      <c r="G22" s="62" t="s">
        <v>62</v>
      </c>
      <c r="H22" s="62"/>
      <c r="I22" s="62"/>
    </row>
    <row r="23" spans="2:23" x14ac:dyDescent="0.25">
      <c r="B23" s="4" t="s">
        <v>59</v>
      </c>
      <c r="C23" s="6" t="s">
        <v>60</v>
      </c>
      <c r="D23" s="7">
        <v>1</v>
      </c>
      <c r="E23" s="8" t="s">
        <v>22</v>
      </c>
      <c r="F23" s="80" t="s">
        <v>134</v>
      </c>
      <c r="G23" s="81"/>
      <c r="H23" s="81"/>
      <c r="I23" s="81"/>
    </row>
    <row r="24" spans="2:23" x14ac:dyDescent="0.25">
      <c r="B24" s="4" t="s">
        <v>63</v>
      </c>
      <c r="C24" s="6" t="s">
        <v>64</v>
      </c>
      <c r="D24" s="7">
        <v>1</v>
      </c>
      <c r="E24" s="8" t="s">
        <v>22</v>
      </c>
      <c r="F24" s="51" t="s">
        <v>135</v>
      </c>
      <c r="G24" s="60" t="str">
        <f>Calculator!D25&amp;" g"</f>
        <v>0.3 g</v>
      </c>
      <c r="H24" s="60"/>
      <c r="I24" s="60"/>
    </row>
    <row r="25" spans="2:23" ht="18" customHeight="1" x14ac:dyDescent="0.25">
      <c r="B25" s="4" t="s">
        <v>65</v>
      </c>
      <c r="C25" s="6" t="s">
        <v>66</v>
      </c>
      <c r="D25" s="7">
        <v>0.3</v>
      </c>
      <c r="E25" s="8" t="s">
        <v>67</v>
      </c>
      <c r="F25" s="51" t="s">
        <v>136</v>
      </c>
      <c r="G25" s="60" t="str">
        <f>TEXT(Calculator!D34,"0.000")&amp;" g"</f>
        <v>0.176 g</v>
      </c>
      <c r="H25" s="60"/>
      <c r="I25" s="60"/>
    </row>
    <row r="26" spans="2:23" ht="18" customHeight="1" x14ac:dyDescent="0.25">
      <c r="B26" s="4" t="s">
        <v>68</v>
      </c>
      <c r="C26" s="6" t="s">
        <v>69</v>
      </c>
      <c r="D26" s="7">
        <v>0.4</v>
      </c>
      <c r="E26" s="8" t="s">
        <v>22</v>
      </c>
      <c r="F26" s="51" t="s">
        <v>137</v>
      </c>
      <c r="G26" s="60" t="str">
        <f>TEXT(Calculator!D35,"0.000")&amp;" g"</f>
        <v>0.544 g</v>
      </c>
      <c r="H26" s="60"/>
      <c r="I26" s="60"/>
    </row>
    <row r="27" spans="2:23" ht="18" customHeight="1" x14ac:dyDescent="0.25">
      <c r="B27" s="4" t="s">
        <v>70</v>
      </c>
      <c r="C27" s="6" t="s">
        <v>71</v>
      </c>
      <c r="D27" s="13">
        <f>MIN(D15,D16)</f>
        <v>12</v>
      </c>
      <c r="E27" s="8" t="s">
        <v>27</v>
      </c>
      <c r="F27" s="51" t="s">
        <v>138</v>
      </c>
      <c r="G27" s="60" t="str">
        <f>TEXT(Calculator!G14,"0.000")</f>
        <v>0.462</v>
      </c>
      <c r="H27" s="60"/>
      <c r="I27" s="60"/>
    </row>
    <row r="28" spans="2:23" ht="18" customHeight="1" x14ac:dyDescent="0.25">
      <c r="B28" s="4" t="s">
        <v>72</v>
      </c>
      <c r="C28" s="6" t="s">
        <v>73</v>
      </c>
      <c r="D28" s="13">
        <f>IF(D21*D22=0,0,(D23*D24)/(D21*D22))</f>
        <v>0.1111111111111111</v>
      </c>
      <c r="E28" s="8" t="s">
        <v>22</v>
      </c>
      <c r="F28" s="51" t="s">
        <v>139</v>
      </c>
      <c r="G28" s="60" t="str">
        <f>TEXT(Calculator!G15,"0.000")</f>
        <v>0.575</v>
      </c>
      <c r="H28" s="60"/>
      <c r="I28" s="60"/>
    </row>
    <row r="29" spans="2:23" ht="18" customHeight="1" x14ac:dyDescent="0.25">
      <c r="B29" s="4" t="s">
        <v>74</v>
      </c>
      <c r="C29" s="6" t="s">
        <v>75</v>
      </c>
      <c r="D29" s="13">
        <f>IF(D28&gt;=1,0,D28/(D13+D28))</f>
        <v>2.1739130434782608E-2</v>
      </c>
      <c r="E29" s="8" t="s">
        <v>22</v>
      </c>
      <c r="F29" s="51" t="s">
        <v>140</v>
      </c>
      <c r="G29" s="60" t="str">
        <f>TEXT(Calculator!G16,"0.000")</f>
        <v>1.223</v>
      </c>
      <c r="H29" s="60"/>
      <c r="I29" s="60"/>
    </row>
    <row r="30" spans="2:23" ht="18" customHeight="1" x14ac:dyDescent="0.25">
      <c r="B30" s="4" t="s">
        <v>76</v>
      </c>
      <c r="C30" s="6" t="s">
        <v>77</v>
      </c>
      <c r="D30" s="14" t="str">
        <f>D21&amp;"×"&amp;D22&amp;" = "&amp;D21*D22</f>
        <v>3×3 = 9</v>
      </c>
      <c r="E30" s="8" t="s">
        <v>22</v>
      </c>
      <c r="F30" s="51" t="s">
        <v>141</v>
      </c>
      <c r="G30" s="60" t="s">
        <v>143</v>
      </c>
      <c r="H30" s="60"/>
      <c r="I30" s="60"/>
    </row>
    <row r="31" spans="2:23" ht="7.5" customHeight="1" x14ac:dyDescent="0.25"/>
    <row r="32" spans="2:23" ht="19.5" customHeight="1" x14ac:dyDescent="0.25">
      <c r="B32" s="77" t="s">
        <v>78</v>
      </c>
      <c r="C32" s="77"/>
      <c r="D32" s="77"/>
      <c r="E32" s="77"/>
      <c r="F32" s="77"/>
      <c r="G32" s="77"/>
      <c r="H32" s="77"/>
      <c r="I32" s="77"/>
      <c r="K32" s="82" t="s">
        <v>10</v>
      </c>
      <c r="L32" s="82"/>
      <c r="M32" s="82"/>
      <c r="N32" s="82"/>
      <c r="O32" s="82"/>
      <c r="P32" s="82"/>
      <c r="Q32" s="82"/>
      <c r="R32" s="82"/>
      <c r="S32" s="82"/>
      <c r="T32" s="82"/>
      <c r="U32" s="82"/>
      <c r="V32" s="82"/>
      <c r="W32" s="82"/>
    </row>
    <row r="33" spans="2:23" ht="19.5" customHeight="1" x14ac:dyDescent="0.25">
      <c r="B33" s="85" t="s">
        <v>79</v>
      </c>
      <c r="C33" s="85" t="s">
        <v>80</v>
      </c>
      <c r="D33" s="85" t="s">
        <v>81</v>
      </c>
      <c r="E33" s="85" t="s">
        <v>82</v>
      </c>
      <c r="F33" s="85" t="s">
        <v>83</v>
      </c>
      <c r="G33" s="85" t="s">
        <v>84</v>
      </c>
      <c r="H33" s="85" t="s">
        <v>85</v>
      </c>
      <c r="I33" s="85" t="s">
        <v>10</v>
      </c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</row>
    <row r="34" spans="2:23" ht="18" customHeight="1" x14ac:dyDescent="0.25">
      <c r="B34" s="15" t="s">
        <v>86</v>
      </c>
      <c r="C34" s="16" t="s">
        <v>87</v>
      </c>
      <c r="D34" s="17">
        <f>0.4522 - 0.7877*G14 + 0.1619*G15 - 0.0579*G16 + 0.4086*G14^2 - 0.0952*G14*G15 + 0.026*G14*G16 - 0.003*G15^2 - 0.0246*G15*G16 + 0.0047*G16^2</f>
        <v>0.17582668005127736</v>
      </c>
      <c r="E34" s="18">
        <v>0.90400000000000003</v>
      </c>
      <c r="F34" s="19">
        <v>0.35199999999999998</v>
      </c>
      <c r="G34" s="19" t="s">
        <v>88</v>
      </c>
      <c r="H34" s="20" t="s">
        <v>89</v>
      </c>
      <c r="I34" s="21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</row>
    <row r="35" spans="2:23" ht="18" customHeight="1" x14ac:dyDescent="0.25">
      <c r="B35" s="22" t="s">
        <v>90</v>
      </c>
      <c r="C35" s="23" t="s">
        <v>91</v>
      </c>
      <c r="D35" s="9">
        <f>1.2435 - 1.8232*G14 + 0.1366*G15 - 0.0959*G16 + 0.7649*G14^2 - 0.0655*G14*G15 + 0.0856*G14*G16 - 0.0021*G15^2 - 0.0164*G15*G16</f>
        <v>0.54417515379579851</v>
      </c>
      <c r="E35" s="24">
        <v>0.81669999999999998</v>
      </c>
      <c r="F35" s="25">
        <v>9.9000000000000005E-2</v>
      </c>
      <c r="G35" s="25" t="s">
        <v>92</v>
      </c>
      <c r="H35" s="26" t="s">
        <v>93</v>
      </c>
      <c r="I35" s="27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</row>
    <row r="36" spans="2:23" ht="18" customHeight="1" x14ac:dyDescent="0.25">
      <c r="B36" s="2" t="s">
        <v>94</v>
      </c>
      <c r="C36" s="28" t="s">
        <v>95</v>
      </c>
      <c r="D36" s="29">
        <f>EXP(0.3348 - 0.4548*G14^2 + 0.1174*G14*G15 - 0.2249*G14*G16)</f>
        <v>1.1522204452427571</v>
      </c>
      <c r="E36" s="30">
        <v>0.31159999999999999</v>
      </c>
      <c r="F36" s="31">
        <v>0.109</v>
      </c>
      <c r="G36" s="31" t="s">
        <v>96</v>
      </c>
      <c r="H36" s="32" t="s">
        <v>97</v>
      </c>
      <c r="I36" s="33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</row>
    <row r="37" spans="2:23" ht="18" customHeight="1" x14ac:dyDescent="0.25">
      <c r="B37" s="1" t="s">
        <v>98</v>
      </c>
      <c r="C37" s="34" t="s">
        <v>99</v>
      </c>
      <c r="D37" s="35">
        <f>EXP(0.1868 - 0.0138*G15^2 + 0.1863*G16 - 0.066*G14*G16^2 - 0.0361*G16^3)</f>
        <v>1.3477165952179408</v>
      </c>
      <c r="E37" s="36">
        <v>0.13300000000000001</v>
      </c>
      <c r="F37" s="37">
        <v>9.5000000000000001E-2</v>
      </c>
      <c r="G37" s="37" t="s">
        <v>100</v>
      </c>
      <c r="H37" s="38" t="s">
        <v>101</v>
      </c>
      <c r="I37" s="39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</row>
    <row r="38" spans="2:23" ht="18" customHeight="1" x14ac:dyDescent="0.25">
      <c r="B38" s="40" t="s">
        <v>102</v>
      </c>
      <c r="C38" s="41" t="s">
        <v>103</v>
      </c>
      <c r="D38" s="42">
        <f>0.5462 + 1.9855*SQRT(G16) + 0.3111*G14*G15 - 4.6956*G14*LN(G14) - 0.0693*SQRT(G16)*LN(G14) + 0.731*LN(G14)^2 + 1.106*LN(G15)*(G16/G14) - 0.0368*(G16/G14^2)</f>
        <v>3.165967325323265</v>
      </c>
      <c r="E38" s="43">
        <v>0.2107</v>
      </c>
      <c r="F38" s="44" t="s">
        <v>24</v>
      </c>
      <c r="G38" s="44" t="s">
        <v>104</v>
      </c>
      <c r="H38" s="45" t="s">
        <v>105</v>
      </c>
      <c r="I38" s="46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</row>
    <row r="39" spans="2:23" ht="7.5" customHeight="1" x14ac:dyDescent="0.25"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</row>
    <row r="40" spans="2:23" ht="19.5" customHeight="1" x14ac:dyDescent="0.25">
      <c r="B40" s="79" t="s">
        <v>106</v>
      </c>
      <c r="C40" s="79"/>
      <c r="D40" s="79"/>
      <c r="E40" s="79"/>
      <c r="F40" s="79"/>
      <c r="G40" s="79"/>
      <c r="H40" s="79"/>
      <c r="I40" s="79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</row>
    <row r="41" spans="2:23" ht="18" customHeight="1" x14ac:dyDescent="0.25">
      <c r="B41" s="57" t="s">
        <v>107</v>
      </c>
      <c r="C41" s="57"/>
      <c r="D41" s="57"/>
      <c r="E41" s="58" t="s">
        <v>108</v>
      </c>
      <c r="F41" s="58"/>
      <c r="G41" s="58"/>
      <c r="H41" s="59" t="s">
        <v>109</v>
      </c>
      <c r="I41" s="59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</row>
    <row r="42" spans="2:23" ht="39.75" customHeight="1" x14ac:dyDescent="0.25">
      <c r="B42" s="71" t="str">
        <f>IF(D25&lt;D34,"▼ LOW RISK — Site PGA is below DS1 median capacity. Proceed with normal engineering checks.",IF(D25&lt;D35,"⚠ MODERATE RISK — Site PGA falls between DS1 and DS2 medians. Review ductility detailing, irregularity, and modelling assumptions before sign-off.","■ HIGH RISK — Site PGA equals or exceeds DS2 median capacity. Nonlinear analysis or detailed assessment is strongly recommended."))</f>
        <v>⚠ MODERATE RISK — Site PGA falls between DS1 and DS2 medians. Review ductility detailing, irregularity, and modelling assumptions before sign-off.</v>
      </c>
      <c r="C42" s="71"/>
      <c r="D42" s="71"/>
      <c r="E42" s="71"/>
      <c r="F42" s="71"/>
      <c r="G42" s="71"/>
      <c r="H42" s="71"/>
      <c r="I42" s="71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</row>
    <row r="43" spans="2:23" ht="27.75" customHeight="1" x14ac:dyDescent="0.25">
      <c r="B43" s="72" t="s">
        <v>110</v>
      </c>
      <c r="C43" s="72"/>
      <c r="D43" s="72"/>
      <c r="E43" s="72"/>
      <c r="F43" s="72"/>
      <c r="G43" s="72"/>
      <c r="H43" s="72"/>
      <c r="I43" s="72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</row>
    <row r="44" spans="2:23" ht="7.5" customHeight="1" x14ac:dyDescent="0.25"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</row>
    <row r="45" spans="2:23" ht="19.5" customHeight="1" x14ac:dyDescent="0.25">
      <c r="B45" s="83" t="s">
        <v>111</v>
      </c>
      <c r="C45" s="83"/>
      <c r="D45" s="83"/>
      <c r="E45" s="83"/>
      <c r="F45" s="83"/>
      <c r="G45" s="83"/>
      <c r="H45" s="83"/>
      <c r="I45" s="83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</row>
    <row r="46" spans="2:23" ht="27.75" customHeight="1" x14ac:dyDescent="0.25">
      <c r="B46" s="73" t="s">
        <v>112</v>
      </c>
      <c r="C46" s="73"/>
      <c r="D46" s="73"/>
      <c r="E46" s="73"/>
      <c r="F46" s="73"/>
      <c r="G46" s="73"/>
      <c r="H46" s="73"/>
      <c r="I46" s="73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</row>
    <row r="47" spans="2:23" ht="30" customHeight="1" x14ac:dyDescent="0.25">
      <c r="B47" s="15" t="s">
        <v>86</v>
      </c>
      <c r="C47" s="52" t="s">
        <v>113</v>
      </c>
      <c r="D47" s="74" t="s">
        <v>114</v>
      </c>
      <c r="E47" s="74"/>
      <c r="F47" s="74"/>
      <c r="G47" s="74"/>
      <c r="H47" s="19">
        <v>0.90400000000000003</v>
      </c>
      <c r="I47" s="19">
        <v>0.35199999999999998</v>
      </c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</row>
    <row r="48" spans="2:23" ht="30" customHeight="1" x14ac:dyDescent="0.25">
      <c r="B48" s="22" t="s">
        <v>90</v>
      </c>
      <c r="C48" s="53" t="s">
        <v>115</v>
      </c>
      <c r="D48" s="67" t="s">
        <v>116</v>
      </c>
      <c r="E48" s="67"/>
      <c r="F48" s="67"/>
      <c r="G48" s="67"/>
      <c r="H48" s="25">
        <v>0.81669999999999998</v>
      </c>
      <c r="I48" s="25">
        <v>9.9000000000000005E-2</v>
      </c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</row>
    <row r="49" spans="2:23" ht="30" customHeight="1" x14ac:dyDescent="0.25">
      <c r="B49" s="2" t="s">
        <v>94</v>
      </c>
      <c r="C49" s="54" t="s">
        <v>117</v>
      </c>
      <c r="D49" s="68" t="s">
        <v>118</v>
      </c>
      <c r="E49" s="68"/>
      <c r="F49" s="68"/>
      <c r="G49" s="68"/>
      <c r="H49" s="31">
        <v>0.31159999999999999</v>
      </c>
      <c r="I49" s="31">
        <v>0.109</v>
      </c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</row>
    <row r="50" spans="2:23" ht="30" customHeight="1" x14ac:dyDescent="0.25">
      <c r="B50" s="1" t="s">
        <v>98</v>
      </c>
      <c r="C50" s="55" t="s">
        <v>119</v>
      </c>
      <c r="D50" s="69" t="s">
        <v>120</v>
      </c>
      <c r="E50" s="69"/>
      <c r="F50" s="69"/>
      <c r="G50" s="69"/>
      <c r="H50" s="37">
        <v>0.13300000000000001</v>
      </c>
      <c r="I50" s="37">
        <v>9.5000000000000001E-2</v>
      </c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</row>
    <row r="51" spans="2:23" ht="30" customHeight="1" x14ac:dyDescent="0.25">
      <c r="B51" s="40" t="s">
        <v>102</v>
      </c>
      <c r="C51" s="56" t="s">
        <v>121</v>
      </c>
      <c r="D51" s="70" t="s">
        <v>122</v>
      </c>
      <c r="E51" s="70"/>
      <c r="F51" s="70"/>
      <c r="G51" s="70"/>
      <c r="H51" s="44">
        <v>0.2107</v>
      </c>
      <c r="I51" s="44" t="s">
        <v>24</v>
      </c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</row>
    <row r="52" spans="2:23" ht="7.5" customHeight="1" x14ac:dyDescent="0.25"/>
    <row r="53" spans="2:23" ht="19.5" customHeight="1" x14ac:dyDescent="0.25">
      <c r="B53" s="84" t="s">
        <v>123</v>
      </c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</row>
    <row r="54" spans="2:23" ht="19.5" customHeight="1" x14ac:dyDescent="0.25">
      <c r="B54" s="66" t="s">
        <v>142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</row>
    <row r="55" spans="2:23" ht="30" customHeight="1" x14ac:dyDescent="0.25">
      <c r="B55" s="65" t="s">
        <v>124</v>
      </c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</row>
    <row r="56" spans="2:23" ht="18" customHeight="1" x14ac:dyDescent="0.25"/>
    <row r="57" spans="2:23" ht="18" customHeight="1" x14ac:dyDescent="0.25"/>
    <row r="58" spans="2:23" ht="18" customHeight="1" x14ac:dyDescent="0.25"/>
    <row r="59" spans="2:23" ht="18" customHeight="1" x14ac:dyDescent="0.25"/>
    <row r="60" spans="2:23" ht="18" customHeight="1" x14ac:dyDescent="0.25"/>
    <row r="61" spans="2:23" ht="18" customHeight="1" x14ac:dyDescent="0.25"/>
    <row r="62" spans="2:23" ht="18" customHeight="1" x14ac:dyDescent="0.25"/>
    <row r="63" spans="2:23" ht="18" customHeight="1" x14ac:dyDescent="0.25"/>
    <row r="64" spans="2:23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</sheetData>
  <mergeCells count="47">
    <mergeCell ref="F17:I17"/>
    <mergeCell ref="G29:I29"/>
    <mergeCell ref="G30:I30"/>
    <mergeCell ref="B32:I32"/>
    <mergeCell ref="B8:C8"/>
    <mergeCell ref="B9:C9"/>
    <mergeCell ref="F11:I11"/>
    <mergeCell ref="D5:F5"/>
    <mergeCell ref="D6:F6"/>
    <mergeCell ref="D7:I7"/>
    <mergeCell ref="D8:I8"/>
    <mergeCell ref="B11:E11"/>
    <mergeCell ref="B6:C6"/>
    <mergeCell ref="B7:C7"/>
    <mergeCell ref="H6:I6"/>
    <mergeCell ref="B4:I4"/>
    <mergeCell ref="B5:C5"/>
    <mergeCell ref="H5:I5"/>
    <mergeCell ref="B53:W53"/>
    <mergeCell ref="B55:W55"/>
    <mergeCell ref="B54:W54"/>
    <mergeCell ref="D48:G48"/>
    <mergeCell ref="D49:G49"/>
    <mergeCell ref="D50:G50"/>
    <mergeCell ref="D51:G51"/>
    <mergeCell ref="B42:I42"/>
    <mergeCell ref="B43:I43"/>
    <mergeCell ref="B45:I45"/>
    <mergeCell ref="B46:I46"/>
    <mergeCell ref="D47:G47"/>
    <mergeCell ref="K32:W32"/>
    <mergeCell ref="B1:W1"/>
    <mergeCell ref="B2:W2"/>
    <mergeCell ref="B40:I40"/>
    <mergeCell ref="B41:D41"/>
    <mergeCell ref="E41:G41"/>
    <mergeCell ref="H41:I41"/>
    <mergeCell ref="G23:I23"/>
    <mergeCell ref="G24:I24"/>
    <mergeCell ref="G25:I25"/>
    <mergeCell ref="K4:W4"/>
    <mergeCell ref="K5:W5"/>
    <mergeCell ref="G26:I26"/>
    <mergeCell ref="G27:I27"/>
    <mergeCell ref="G28:I28"/>
    <mergeCell ref="G22:I22"/>
    <mergeCell ref="D9:I9"/>
  </mergeCells>
  <conditionalFormatting sqref="B42:I42">
    <cfRule type="containsText" dxfId="2" priority="1" operator="containsText" text="High Risk">
      <formula>NOT(ISERROR(SEARCH("High Risk",B42)))</formula>
    </cfRule>
    <cfRule type="containsText" dxfId="1" priority="2" operator="containsText" text="Moderate">
      <formula>NOT(ISERROR(SEARCH("Moderate",B42)))</formula>
    </cfRule>
    <cfRule type="containsText" dxfId="0" priority="3" operator="containsText" text="Low Risk">
      <formula>NOT(ISERROR(SEARCH("Low Risk",B42)))</formula>
    </cfRule>
  </conditionalFormatting>
  <pageMargins left="0.44" right="0.56999999999999995" top="0.36" bottom="0.36" header="0.3" footer="0.3"/>
  <pageSetup paperSize="9" scale="53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5"/>
  <sheetViews>
    <sheetView showGridLines="0" zoomScaleNormal="100" workbookViewId="0">
      <selection activeCell="G2" sqref="G2"/>
    </sheetView>
  </sheetViews>
  <sheetFormatPr defaultColWidth="8.7109375" defaultRowHeight="15" x14ac:dyDescent="0.25"/>
  <cols>
    <col min="1" max="1" width="10" customWidth="1"/>
    <col min="2" max="2" width="12" customWidth="1"/>
    <col min="3" max="5" width="13" customWidth="1"/>
    <col min="6" max="7" width="12" customWidth="1"/>
    <col min="8" max="8" width="45" customWidth="1"/>
  </cols>
  <sheetData>
    <row r="1" spans="1:10" x14ac:dyDescent="0.25">
      <c r="A1" s="5" t="s">
        <v>125</v>
      </c>
      <c r="B1" s="5" t="s">
        <v>126</v>
      </c>
      <c r="C1" s="5" t="s">
        <v>127</v>
      </c>
      <c r="D1" s="5" t="s">
        <v>128</v>
      </c>
      <c r="E1" s="5" t="s">
        <v>129</v>
      </c>
      <c r="F1" s="5" t="s">
        <v>130</v>
      </c>
      <c r="G1" s="5" t="s">
        <v>65</v>
      </c>
      <c r="H1" s="47" t="s">
        <v>131</v>
      </c>
      <c r="J1">
        <v>0</v>
      </c>
    </row>
    <row r="2" spans="1:10" x14ac:dyDescent="0.25">
      <c r="A2" s="48">
        <v>0.01</v>
      </c>
      <c r="B2" s="49">
        <f>IFERROR(_xlfn.SINGLE(_xlfn.NORM.S.DIST(LN(A2/Calculator!$D$34)/Calculator!$D$26,TRUE())),"")</f>
        <v>3.8250084217625962E-13</v>
      </c>
      <c r="C2" s="49">
        <f>IFERROR(_xlfn.SINGLE(_xlfn.NORM.S.DIST(LN(A2/Calculator!$D$35)/Calculator!$D$26,TRUE())),"")</f>
        <v>8.2844798952605461E-24</v>
      </c>
      <c r="D2" s="49">
        <f>IFERROR(_xlfn.SINGLE(_xlfn.NORM.S.DIST(LN(A2/Calculator!$D$36)/Calculator!$D$26,TRUE())),"")</f>
        <v>8.7666909589908974E-33</v>
      </c>
      <c r="E2" s="49">
        <f>IFERROR(_xlfn.SINGLE(_xlfn.NORM.S.DIST(LN(A2/Calculator!$D$37)/Calculator!$D$26,TRUE())),"")</f>
        <v>7.5213770752231693E-35</v>
      </c>
      <c r="F2" s="49">
        <f>IFERROR(_xlfn.SINGLE(_xlfn.NORM.S.DIST(LN(A2/Calculator!$D$38)/Calculator!$D$26,TRUE())),"")</f>
        <v>2.8188230289893238E-47</v>
      </c>
      <c r="G2" s="49">
        <v>0.3</v>
      </c>
      <c r="J2">
        <v>1</v>
      </c>
    </row>
    <row r="3" spans="1:10" x14ac:dyDescent="0.25">
      <c r="A3" s="48">
        <v>0.04</v>
      </c>
      <c r="B3" s="49">
        <f>IFERROR(_xlfn.SINGLE(_xlfn.NORM.S.DIST(LN(A3/Calculator!$D$34)/Calculator!$D$26,TRUE())),"")</f>
        <v>1.071439654744465E-4</v>
      </c>
      <c r="C3" s="49">
        <f>IFERROR(_xlfn.SINGLE(_xlfn.NORM.S.DIST(LN(A3/Calculator!$D$35)/Calculator!$D$26,TRUE())),"")</f>
        <v>3.377932829281102E-11</v>
      </c>
      <c r="D3" s="49">
        <f>IFERROR(_xlfn.SINGLE(_xlfn.NORM.S.DIST(LN(A3/Calculator!$D$36)/Calculator!$D$26,TRUE())),"")</f>
        <v>2.2056179698380711E-17</v>
      </c>
      <c r="E3" s="49">
        <f>IFERROR(_xlfn.SINGLE(_xlfn.NORM.S.DIST(LN(A3/Calculator!$D$37)/Calculator!$D$26,TRUE())),"")</f>
        <v>7.2667438803199866E-19</v>
      </c>
      <c r="F3" s="49">
        <f>IFERROR(_xlfn.SINGLE(_xlfn.NORM.S.DIST(LN(A3/Calculator!$D$38)/Calculator!$D$26,TRUE())),"")</f>
        <v>4.2190693713553726E-28</v>
      </c>
      <c r="G3" s="49">
        <v>0.3</v>
      </c>
    </row>
    <row r="4" spans="1:10" x14ac:dyDescent="0.25">
      <c r="A4" s="48">
        <v>7.0000000000000007E-2</v>
      </c>
      <c r="B4" s="49">
        <f>IFERROR(_xlfn.SINGLE(_xlfn.NORM.S.DIST(LN(A4/Calculator!$D$34)/Calculator!$D$26,TRUE())),"")</f>
        <v>1.0653249602162447E-2</v>
      </c>
      <c r="C4" s="49">
        <f>IFERROR(_xlfn.SINGLE(_xlfn.NORM.S.DIST(LN(A4/Calculator!$D$35)/Calculator!$D$26,TRUE())),"")</f>
        <v>1.4724480077795673E-7</v>
      </c>
      <c r="D4" s="49">
        <f>IFERROR(_xlfn.SINGLE(_xlfn.NORM.S.DIST(LN(A4/Calculator!$D$36)/Calculator!$D$26,TRUE())),"")</f>
        <v>1.2582758433463954E-12</v>
      </c>
      <c r="E4" s="49">
        <f>IFERROR(_xlfn.SINGLE(_xlfn.NORM.S.DIST(LN(A4/Calculator!$D$37)/Calculator!$D$26,TRUE())),"")</f>
        <v>7.1142067670563488E-14</v>
      </c>
      <c r="F4" s="49">
        <f>IFERROR(_xlfn.SINGLE(_xlfn.NORM.S.DIST(LN(A4/Calculator!$D$38)/Calculator!$D$26,TRUE())),"")</f>
        <v>7.9176182093531419E-22</v>
      </c>
      <c r="G4" s="49">
        <v>0.3</v>
      </c>
    </row>
    <row r="5" spans="1:10" x14ac:dyDescent="0.25">
      <c r="A5" s="48">
        <v>0.1</v>
      </c>
      <c r="B5" s="49">
        <f>IFERROR(_xlfn.SINGLE(_xlfn.NORM.S.DIST(LN(A5/Calculator!$D$34)/Calculator!$D$26,TRUE())),"")</f>
        <v>7.9148644566614468E-2</v>
      </c>
      <c r="C5" s="49">
        <f>IFERROR(_xlfn.SINGLE(_xlfn.NORM.S.DIST(LN(A5/Calculator!$D$35)/Calculator!$D$26,TRUE())),"")</f>
        <v>1.1414753679947708E-5</v>
      </c>
      <c r="D5" s="49">
        <f>IFERROR(_xlfn.SINGLE(_xlfn.NORM.S.DIST(LN(A5/Calculator!$D$36)/Calculator!$D$26,TRUE())),"")</f>
        <v>4.9600651110534542E-10</v>
      </c>
      <c r="E5" s="49">
        <f>IFERROR(_xlfn.SINGLE(_xlfn.NORM.S.DIST(LN(A5/Calculator!$D$37)/Calculator!$D$26,TRUE())),"")</f>
        <v>3.9500084053453118E-11</v>
      </c>
      <c r="F5" s="49">
        <f>IFERROR(_xlfn.SINGLE(_xlfn.NORM.S.DIST(LN(A5/Calculator!$D$38)/Calculator!$D$26,TRUE())),"")</f>
        <v>2.8700757257245915E-18</v>
      </c>
      <c r="G5" s="49">
        <v>0.3</v>
      </c>
    </row>
    <row r="6" spans="1:10" x14ac:dyDescent="0.25">
      <c r="A6" s="48">
        <v>0.13</v>
      </c>
      <c r="B6" s="49">
        <f>IFERROR(_xlfn.SINGLE(_xlfn.NORM.S.DIST(LN(A6/Calculator!$D$34)/Calculator!$D$26,TRUE())),"")</f>
        <v>0.2251512773910592</v>
      </c>
      <c r="C6" s="49">
        <f>IFERROR(_xlfn.SINGLE(_xlfn.NORM.S.DIST(LN(A6/Calculator!$D$35)/Calculator!$D$26,TRUE())),"")</f>
        <v>1.7223035150147498E-4</v>
      </c>
      <c r="D6" s="49">
        <f>IFERROR(_xlfn.SINGLE(_xlfn.NORM.S.DIST(LN(A6/Calculator!$D$36)/Calculator!$D$26,TRUE())),"")</f>
        <v>2.4516849995242999E-8</v>
      </c>
      <c r="E6" s="49">
        <f>IFERROR(_xlfn.SINGLE(_xlfn.NORM.S.DIST(LN(A6/Calculator!$D$37)/Calculator!$D$26,TRUE())),"")</f>
        <v>2.5088897321617723E-9</v>
      </c>
      <c r="F6" s="49">
        <f>IFERROR(_xlfn.SINGLE(_xlfn.NORM.S.DIST(LN(A6/Calculator!$D$38)/Calculator!$D$26,TRUE())),"")</f>
        <v>7.216651539900367E-16</v>
      </c>
      <c r="G6" s="49">
        <v>0.3</v>
      </c>
    </row>
    <row r="7" spans="1:10" x14ac:dyDescent="0.25">
      <c r="A7" s="48">
        <v>0.16</v>
      </c>
      <c r="B7" s="49">
        <f>IFERROR(_xlfn.SINGLE(_xlfn.NORM.S.DIST(LN(A7/Calculator!$D$34)/Calculator!$D$26,TRUE())),"")</f>
        <v>0.40678915953821587</v>
      </c>
      <c r="C7" s="49">
        <f>IFERROR(_xlfn.SINGLE(_xlfn.NORM.S.DIST(LN(A7/Calculator!$D$35)/Calculator!$D$26,TRUE())),"")</f>
        <v>1.1057859549786447E-3</v>
      </c>
      <c r="D7" s="49">
        <f>IFERROR(_xlfn.SINGLE(_xlfn.NORM.S.DIST(LN(A7/Calculator!$D$36)/Calculator!$D$26,TRUE())),"")</f>
        <v>3.9935800490576273E-7</v>
      </c>
      <c r="E7" s="49">
        <f>IFERROR(_xlfn.SINGLE(_xlfn.NORM.S.DIST(LN(A7/Calculator!$D$37)/Calculator!$D$26,TRUE())),"")</f>
        <v>4.9791539000701484E-8</v>
      </c>
      <c r="F7" s="49">
        <f>IFERROR(_xlfn.SINGLE(_xlfn.NORM.S.DIST(LN(A7/Calculator!$D$38)/Calculator!$D$26,TRUE())),"")</f>
        <v>4.2415708475777474E-14</v>
      </c>
      <c r="G7" s="49">
        <v>0.3</v>
      </c>
    </row>
    <row r="8" spans="1:10" x14ac:dyDescent="0.25">
      <c r="A8" s="48">
        <v>0.19</v>
      </c>
      <c r="B8" s="49">
        <f>IFERROR(_xlfn.SINGLE(_xlfn.NORM.S.DIST(LN(A8/Calculator!$D$34)/Calculator!$D$26,TRUE())),"")</f>
        <v>0.57683897816020813</v>
      </c>
      <c r="C8" s="49">
        <f>IFERROR(_xlfn.SINGLE(_xlfn.NORM.S.DIST(LN(A8/Calculator!$D$35)/Calculator!$D$26,TRUE())),"")</f>
        <v>4.2614920365876743E-3</v>
      </c>
      <c r="D8" s="49">
        <f>IFERROR(_xlfn.SINGLE(_xlfn.NORM.S.DIST(LN(A8/Calculator!$D$36)/Calculator!$D$26,TRUE())),"")</f>
        <v>3.3021945269348861E-6</v>
      </c>
      <c r="E8" s="49">
        <f>IFERROR(_xlfn.SINGLE(_xlfn.NORM.S.DIST(LN(A8/Calculator!$D$37)/Calculator!$D$26,TRUE())),"")</f>
        <v>4.8443654080236505E-7</v>
      </c>
      <c r="F8" s="49">
        <f>IFERROR(_xlfn.SINGLE(_xlfn.NORM.S.DIST(LN(A8/Calculator!$D$38)/Calculator!$D$26,TRUE())),"")</f>
        <v>1.0108807748460659E-12</v>
      </c>
      <c r="G8" s="49">
        <v>0.3</v>
      </c>
    </row>
    <row r="9" spans="1:10" x14ac:dyDescent="0.25">
      <c r="A9" s="48">
        <v>0.22</v>
      </c>
      <c r="B9" s="49">
        <f>IFERROR(_xlfn.SINGLE(_xlfn.NORM.S.DIST(LN(A9/Calculator!$D$34)/Calculator!$D$26,TRUE())),"")</f>
        <v>0.71237009562809139</v>
      </c>
      <c r="C9" s="49">
        <f>IFERROR(_xlfn.SINGLE(_xlfn.NORM.S.DIST(LN(A9/Calculator!$D$35)/Calculator!$D$26,TRUE())),"")</f>
        <v>1.1783704053746642E-2</v>
      </c>
      <c r="D9" s="49">
        <f>IFERROR(_xlfn.SINGLE(_xlfn.NORM.S.DIST(LN(A9/Calculator!$D$36)/Calculator!$D$26,TRUE())),"")</f>
        <v>1.7399646363070665E-5</v>
      </c>
      <c r="E9" s="49">
        <f>IFERROR(_xlfn.SINGLE(_xlfn.NORM.S.DIST(LN(A9/Calculator!$D$37)/Calculator!$D$26,TRUE())),"")</f>
        <v>2.9304151932278174E-6</v>
      </c>
      <c r="F9" s="49">
        <f>IFERROR(_xlfn.SINGLE(_xlfn.NORM.S.DIST(LN(A9/Calculator!$D$38)/Calculator!$D$26,TRUE())),"")</f>
        <v>1.3101823759826038E-11</v>
      </c>
      <c r="G9" s="49">
        <v>0.3</v>
      </c>
    </row>
    <row r="10" spans="1:10" x14ac:dyDescent="0.25">
      <c r="A10" s="48">
        <v>0.25</v>
      </c>
      <c r="B10" s="49">
        <f>IFERROR(_xlfn.SINGLE(_xlfn.NORM.S.DIST(LN(A10/Calculator!$D$34)/Calculator!$D$26,TRUE())),"")</f>
        <v>0.81054473428556473</v>
      </c>
      <c r="C10" s="49">
        <f>IFERROR(_xlfn.SINGLE(_xlfn.NORM.S.DIST(LN(A10/Calculator!$D$35)/Calculator!$D$26,TRUE())),"")</f>
        <v>2.5916049032396193E-2</v>
      </c>
      <c r="D10" s="49">
        <f>IFERROR(_xlfn.SINGLE(_xlfn.NORM.S.DIST(LN(A10/Calculator!$D$36)/Calculator!$D$26,TRUE())),"")</f>
        <v>6.6735804079048235E-5</v>
      </c>
      <c r="E10" s="49">
        <f>IFERROR(_xlfn.SINGLE(_xlfn.NORM.S.DIST(LN(A10/Calculator!$D$37)/Calculator!$D$26,TRUE())),"")</f>
        <v>1.2669138083510131E-5</v>
      </c>
      <c r="F10" s="49">
        <f>IFERROR(_xlfn.SINGLE(_xlfn.NORM.S.DIST(LN(A10/Calculator!$D$38)/Calculator!$D$26,TRUE())),"")</f>
        <v>1.0986090394578263E-10</v>
      </c>
      <c r="G10" s="49">
        <v>0.3</v>
      </c>
    </row>
    <row r="11" spans="1:10" x14ac:dyDescent="0.25">
      <c r="A11" s="48">
        <v>0.28000000000000003</v>
      </c>
      <c r="B11" s="49">
        <f>IFERROR(_xlfn.SINGLE(_xlfn.NORM.S.DIST(LN(A11/Calculator!$D$34)/Calculator!$D$26,TRUE())),"")</f>
        <v>0.87763132602346627</v>
      </c>
      <c r="C11" s="49">
        <f>IFERROR(_xlfn.SINGLE(_xlfn.NORM.S.DIST(LN(A11/Calculator!$D$35)/Calculator!$D$26,TRUE())),"")</f>
        <v>4.8336249846012244E-2</v>
      </c>
      <c r="D11" s="49">
        <f>IFERROR(_xlfn.SINGLE(_xlfn.NORM.S.DIST(LN(A11/Calculator!$D$36)/Calculator!$D$26,TRUE())),"")</f>
        <v>2.0262471586157262E-4</v>
      </c>
      <c r="E11" s="49">
        <f>IFERROR(_xlfn.SINGLE(_xlfn.NORM.S.DIST(LN(A11/Calculator!$D$37)/Calculator!$D$26,TRUE())),"")</f>
        <v>4.2748704518905039E-5</v>
      </c>
      <c r="F11" s="49">
        <f>IFERROR(_xlfn.SINGLE(_xlfn.NORM.S.DIST(LN(A11/Calculator!$D$38)/Calculator!$D$26,TRUE())),"")</f>
        <v>6.6570212263231259E-10</v>
      </c>
      <c r="G11" s="49">
        <v>0.3</v>
      </c>
    </row>
    <row r="12" spans="1:10" x14ac:dyDescent="0.25">
      <c r="A12" s="48">
        <v>0.31</v>
      </c>
      <c r="B12" s="49">
        <f>IFERROR(_xlfn.SINGLE(_xlfn.NORM.S.DIST(LN(A12/Calculator!$D$34)/Calculator!$D$26,TRUE())),"")</f>
        <v>0.92185846371114366</v>
      </c>
      <c r="C12" s="49">
        <f>IFERROR(_xlfn.SINGLE(_xlfn.NORM.S.DIST(LN(A12/Calculator!$D$35)/Calculator!$D$26,TRUE())),"")</f>
        <v>7.9751185282364745E-2</v>
      </c>
      <c r="D12" s="49">
        <f>IFERROR(_xlfn.SINGLE(_xlfn.NORM.S.DIST(LN(A12/Calculator!$D$36)/Calculator!$D$26,TRUE())),"")</f>
        <v>5.1503053374384164E-4</v>
      </c>
      <c r="E12" s="49">
        <f>IFERROR(_xlfn.SINGLE(_xlfn.NORM.S.DIST(LN(A12/Calculator!$D$37)/Calculator!$D$26,TRUE())),"")</f>
        <v>1.1939752424505739E-4</v>
      </c>
      <c r="F12" s="49">
        <f>IFERROR(_xlfn.SINGLE(_xlfn.NORM.S.DIST(LN(A12/Calculator!$D$38)/Calculator!$D$26,TRUE())),"")</f>
        <v>3.1404022664927848E-9</v>
      </c>
      <c r="G12" s="49">
        <v>0.3</v>
      </c>
    </row>
    <row r="13" spans="1:10" x14ac:dyDescent="0.25">
      <c r="A13" s="48">
        <v>0.34</v>
      </c>
      <c r="B13" s="49">
        <f>IFERROR(_xlfn.SINGLE(_xlfn.NORM.S.DIST(LN(A13/Calculator!$D$34)/Calculator!$D$26,TRUE())),"")</f>
        <v>0.95038695868196643</v>
      </c>
      <c r="C13" s="49">
        <f>IFERROR(_xlfn.SINGLE(_xlfn.NORM.S.DIST(LN(A13/Calculator!$D$35)/Calculator!$D$26,TRUE())),"")</f>
        <v>0.11983462965992646</v>
      </c>
      <c r="D13" s="49">
        <f>IFERROR(_xlfn.SINGLE(_xlfn.NORM.S.DIST(LN(A13/Calculator!$D$36)/Calculator!$D$26,TRUE())),"")</f>
        <v>1.1394483442150947E-3</v>
      </c>
      <c r="E13" s="49">
        <f>IFERROR(_xlfn.SINGLE(_xlfn.NORM.S.DIST(LN(A13/Calculator!$D$37)/Calculator!$D$26,TRUE())),"")</f>
        <v>2.8759272893095285E-4</v>
      </c>
      <c r="F13" s="49">
        <f>IFERROR(_xlfn.SINGLE(_xlfn.NORM.S.DIST(LN(A13/Calculator!$D$38)/Calculator!$D$26,TRUE())),"")</f>
        <v>1.2153050002779192E-8</v>
      </c>
      <c r="G13" s="49">
        <v>0.3</v>
      </c>
    </row>
    <row r="14" spans="1:10" x14ac:dyDescent="0.25">
      <c r="A14" s="48">
        <v>0.37</v>
      </c>
      <c r="B14" s="49">
        <f>IFERROR(_xlfn.SINGLE(_xlfn.NORM.S.DIST(LN(A14/Calculator!$D$34)/Calculator!$D$26,TRUE())),"")</f>
        <v>0.96855799185472768</v>
      </c>
      <c r="C14" s="49">
        <f>IFERROR(_xlfn.SINGLE(_xlfn.NORM.S.DIST(LN(A14/Calculator!$D$35)/Calculator!$D$26,TRUE())),"")</f>
        <v>0.16741759725480215</v>
      </c>
      <c r="D14" s="49">
        <f>IFERROR(_xlfn.SINGLE(_xlfn.NORM.S.DIST(LN(A14/Calculator!$D$36)/Calculator!$D$26,TRUE())),"")</f>
        <v>2.2566814148596301E-3</v>
      </c>
      <c r="E14" s="49">
        <f>IFERROR(_xlfn.SINGLE(_xlfn.NORM.S.DIST(LN(A14/Calculator!$D$37)/Calculator!$D$26,TRUE())),"")</f>
        <v>6.1536687918260237E-4</v>
      </c>
      <c r="F14" s="49">
        <f>IFERROR(_xlfn.SINGLE(_xlfn.NORM.S.DIST(LN(A14/Calculator!$D$38)/Calculator!$D$26,TRUE())),"")</f>
        <v>4.0077966183865361E-8</v>
      </c>
      <c r="G14" s="49">
        <v>0.3</v>
      </c>
    </row>
    <row r="15" spans="1:10" x14ac:dyDescent="0.25">
      <c r="A15" s="48">
        <v>0.4</v>
      </c>
      <c r="B15" s="49">
        <f>IFERROR(_xlfn.SINGLE(_xlfn.NORM.S.DIST(LN(A15/Calculator!$D$34)/Calculator!$D$26,TRUE())),"")</f>
        <v>0.98005636932975282</v>
      </c>
      <c r="C15" s="49">
        <f>IFERROR(_xlfn.SINGLE(_xlfn.NORM.S.DIST(LN(A15/Calculator!$D$35)/Calculator!$D$26,TRUE())),"")</f>
        <v>0.22079336041719927</v>
      </c>
      <c r="D15" s="49">
        <f>IFERROR(_xlfn.SINGLE(_xlfn.NORM.S.DIST(LN(A15/Calculator!$D$36)/Calculator!$D$26,TRUE())),"")</f>
        <v>4.0851001076397195E-3</v>
      </c>
      <c r="E15" s="49">
        <f>IFERROR(_xlfn.SINGLE(_xlfn.NORM.S.DIST(LN(A15/Calculator!$D$37)/Calculator!$D$26,TRUE())),"")</f>
        <v>1.1956939294334216E-3</v>
      </c>
      <c r="F15" s="49">
        <f>IFERROR(_xlfn.SINGLE(_xlfn.NORM.S.DIST(LN(A15/Calculator!$D$38)/Calculator!$D$26,TRUE())),"")</f>
        <v>1.1587927570787211E-7</v>
      </c>
      <c r="G15" s="49">
        <v>0.3</v>
      </c>
    </row>
    <row r="16" spans="1:10" x14ac:dyDescent="0.25">
      <c r="A16" s="48">
        <v>0.43</v>
      </c>
      <c r="B16" s="49">
        <f>IFERROR(_xlfn.SINGLE(_xlfn.NORM.S.DIST(LN(A16/Calculator!$D$34)/Calculator!$D$26,TRUE())),"")</f>
        <v>0.98731481569629098</v>
      </c>
      <c r="C16" s="49">
        <f>IFERROR(_xlfn.SINGLE(_xlfn.NORM.S.DIST(LN(A16/Calculator!$D$35)/Calculator!$D$26,TRUE())),"")</f>
        <v>0.27802627027309179</v>
      </c>
      <c r="D16" s="49">
        <f>IFERROR(_xlfn.SINGLE(_xlfn.NORM.S.DIST(LN(A16/Calculator!$D$36)/Calculator!$D$26,TRUE())),"")</f>
        <v>6.86688450991149E-3</v>
      </c>
      <c r="E16" s="49">
        <f>IFERROR(_xlfn.SINGLE(_xlfn.NORM.S.DIST(LN(A16/Calculator!$D$37)/Calculator!$D$26,TRUE())),"")</f>
        <v>2.1453827607564144E-3</v>
      </c>
      <c r="F16" s="49">
        <f>IFERROR(_xlfn.SINGLE(_xlfn.NORM.S.DIST(LN(A16/Calculator!$D$38)/Calculator!$D$26,TRUE())),"")</f>
        <v>3.0022588746761803E-7</v>
      </c>
      <c r="G16" s="49">
        <v>0.3</v>
      </c>
    </row>
    <row r="17" spans="1:7" x14ac:dyDescent="0.25">
      <c r="A17" s="48">
        <v>0.46</v>
      </c>
      <c r="B17" s="49">
        <f>IFERROR(_xlfn.SINGLE(_xlfn.NORM.S.DIST(LN(A17/Calculator!$D$34)/Calculator!$D$26,TRUE())),"")</f>
        <v>0.99189869461724522</v>
      </c>
      <c r="C17" s="49">
        <f>IFERROR(_xlfn.SINGLE(_xlfn.NORM.S.DIST(LN(A17/Calculator!$D$35)/Calculator!$D$26,TRUE())),"")</f>
        <v>0.33720192847647612</v>
      </c>
      <c r="D17" s="49">
        <f>IFERROR(_xlfn.SINGLE(_xlfn.NORM.S.DIST(LN(A17/Calculator!$D$36)/Calculator!$D$26,TRUE())),"")</f>
        <v>1.0850834237816733E-2</v>
      </c>
      <c r="E17" s="49">
        <f>IFERROR(_xlfn.SINGLE(_xlfn.NORM.S.DIST(LN(A17/Calculator!$D$37)/Calculator!$D$26,TRUE())),"")</f>
        <v>3.6010575830165968E-3</v>
      </c>
      <c r="F17" s="49">
        <f>IFERROR(_xlfn.SINGLE(_xlfn.NORM.S.DIST(LN(A17/Calculator!$D$38)/Calculator!$D$26,TRUE())),"")</f>
        <v>7.0896186534571296E-7</v>
      </c>
      <c r="G17" s="49">
        <v>0.3</v>
      </c>
    </row>
    <row r="18" spans="1:7" x14ac:dyDescent="0.25">
      <c r="A18" s="48">
        <v>0.49</v>
      </c>
      <c r="B18" s="49">
        <f>IFERROR(_xlfn.SINGLE(_xlfn.NORM.S.DIST(LN(A18/Calculator!$D$34)/Calculator!$D$26,TRUE())),"")</f>
        <v>0.99480042760656939</v>
      </c>
      <c r="C18" s="49">
        <f>IFERROR(_xlfn.SINGLE(_xlfn.NORM.S.DIST(LN(A18/Calculator!$D$35)/Calculator!$D$26,TRUE())),"")</f>
        <v>0.39659733203247954</v>
      </c>
      <c r="D18" s="49">
        <f>IFERROR(_xlfn.SINGLE(_xlfn.NORM.S.DIST(LN(A18/Calculator!$D$36)/Calculator!$D$26,TRUE())),"")</f>
        <v>1.6274530602338314E-2</v>
      </c>
      <c r="E18" s="49">
        <f>IFERROR(_xlfn.SINGLE(_xlfn.NORM.S.DIST(LN(A18/Calculator!$D$37)/Calculator!$D$26,TRUE())),"")</f>
        <v>5.7128197732942672E-3</v>
      </c>
      <c r="F18" s="49">
        <f>IFERROR(_xlfn.SINGLE(_xlfn.NORM.S.DIST(LN(A18/Calculator!$D$38)/Calculator!$D$26,TRUE())),"")</f>
        <v>1.5466812910636958E-6</v>
      </c>
      <c r="G18" s="49">
        <v>0.3</v>
      </c>
    </row>
    <row r="19" spans="1:7" x14ac:dyDescent="0.25">
      <c r="A19" s="48">
        <v>0.52</v>
      </c>
      <c r="B19" s="49">
        <f>IFERROR(_xlfn.SINGLE(_xlfn.NORM.S.DIST(LN(A19/Calculator!$D$34)/Calculator!$D$26,TRUE())),"")</f>
        <v>0.99664419995413855</v>
      </c>
      <c r="C19" s="49">
        <f>IFERROR(_xlfn.SINGLE(_xlfn.NORM.S.DIST(LN(A19/Calculator!$D$35)/Calculator!$D$26,TRUE())),"")</f>
        <v>0.45477510768464485</v>
      </c>
      <c r="D19" s="49">
        <f>IFERROR(_xlfn.SINGLE(_xlfn.NORM.S.DIST(LN(A19/Calculator!$D$36)/Calculator!$D$26,TRUE())),"")</f>
        <v>2.3348205009610237E-2</v>
      </c>
      <c r="E19" s="49">
        <f>IFERROR(_xlfn.SINGLE(_xlfn.NORM.S.DIST(LN(A19/Calculator!$D$37)/Calculator!$D$26,TRUE())),"")</f>
        <v>8.6364763820720794E-3</v>
      </c>
      <c r="F19" s="49">
        <f>IFERROR(_xlfn.SINGLE(_xlfn.NORM.S.DIST(LN(A19/Calculator!$D$38)/Calculator!$D$26,TRUE())),"")</f>
        <v>3.1514869010480577E-6</v>
      </c>
      <c r="G19" s="49">
        <v>0.3</v>
      </c>
    </row>
    <row r="20" spans="1:7" x14ac:dyDescent="0.25">
      <c r="A20" s="48">
        <v>0.55000000000000004</v>
      </c>
      <c r="B20" s="49">
        <f>IFERROR(_xlfn.SINGLE(_xlfn.NORM.S.DIST(LN(A20/Calculator!$D$34)/Calculator!$D$26,TRUE())),"")</f>
        <v>0.99782123629617103</v>
      </c>
      <c r="C20" s="49">
        <f>IFERROR(_xlfn.SINGLE(_xlfn.NORM.S.DIST(LN(A20/Calculator!$D$35)/Calculator!$D$26,TRUE())),"")</f>
        <v>0.51061770136453144</v>
      </c>
      <c r="D20" s="49">
        <f>IFERROR(_xlfn.SINGLE(_xlfn.NORM.S.DIST(LN(A20/Calculator!$D$36)/Calculator!$D$26,TRUE())),"")</f>
        <v>3.2241921646962941E-2</v>
      </c>
      <c r="E20" s="49">
        <f>IFERROR(_xlfn.SINGLE(_xlfn.NORM.S.DIST(LN(A20/Calculator!$D$37)/Calculator!$D$26,TRUE())),"")</f>
        <v>1.2525289246055775E-2</v>
      </c>
      <c r="F20" s="49">
        <f>IFERROR(_xlfn.SINGLE(_xlfn.NORM.S.DIST(LN(A20/Calculator!$D$38)/Calculator!$D$26,TRUE())),"")</f>
        <v>6.0510848875249049E-6</v>
      </c>
      <c r="G20" s="49">
        <v>0.3</v>
      </c>
    </row>
    <row r="21" spans="1:7" x14ac:dyDescent="0.25">
      <c r="A21" s="48">
        <v>0.57999999999999996</v>
      </c>
      <c r="B21" s="49">
        <f>IFERROR(_xlfn.SINGLE(_xlfn.NORM.S.DIST(LN(A21/Calculator!$D$34)/Calculator!$D$26,TRUE())),"")</f>
        <v>0.99857664495283172</v>
      </c>
      <c r="C21" s="49">
        <f>IFERROR(_xlfn.SINGLE(_xlfn.NORM.S.DIST(LN(A21/Calculator!$D$35)/Calculator!$D$26,TRUE())),"")</f>
        <v>0.56332011186101683</v>
      </c>
      <c r="D21" s="49">
        <f>IFERROR(_xlfn.SINGLE(_xlfn.NORM.S.DIST(LN(A21/Calculator!$D$36)/Calculator!$D$26,TRUE())),"")</f>
        <v>4.3076885380318695E-2</v>
      </c>
      <c r="E21" s="49">
        <f>IFERROR(_xlfn.SINGLE(_xlfn.NORM.S.DIST(LN(A21/Calculator!$D$37)/Calculator!$D$26,TRUE())),"")</f>
        <v>1.7522099442700664E-2</v>
      </c>
      <c r="F21" s="49">
        <f>IFERROR(_xlfn.SINGLE(_xlfn.NORM.S.DIST(LN(A21/Calculator!$D$38)/Calculator!$D$26,TRUE())),"")</f>
        <v>1.1029315029826123E-5</v>
      </c>
      <c r="G21" s="49">
        <v>0.3</v>
      </c>
    </row>
    <row r="22" spans="1:7" x14ac:dyDescent="0.25">
      <c r="A22" s="48">
        <v>0.61</v>
      </c>
      <c r="B22" s="49">
        <f>IFERROR(_xlfn.SINGLE(_xlfn.NORM.S.DIST(LN(A22/Calculator!$D$34)/Calculator!$D$26,TRUE())),"")</f>
        <v>0.99906424827749662</v>
      </c>
      <c r="C22" s="49">
        <f>IFERROR(_xlfn.SINGLE(_xlfn.NORM.S.DIST(LN(A22/Calculator!$D$35)/Calculator!$D$26,TRUE())),"")</f>
        <v>0.61235775468066045</v>
      </c>
      <c r="D22" s="49">
        <f>IFERROR(_xlfn.SINGLE(_xlfn.NORM.S.DIST(LN(A22/Calculator!$D$36)/Calculator!$D$26,TRUE())),"")</f>
        <v>5.5921002242514638E-2</v>
      </c>
      <c r="E22" s="49">
        <f>IFERROR(_xlfn.SINGLE(_xlfn.NORM.S.DIST(LN(A22/Calculator!$D$37)/Calculator!$D$26,TRUE())),"")</f>
        <v>2.375248431006052E-2</v>
      </c>
      <c r="F22" s="49">
        <f>IFERROR(_xlfn.SINGLE(_xlfn.NORM.S.DIST(LN(A22/Calculator!$D$38)/Calculator!$D$26,TRUE())),"")</f>
        <v>1.9201178068952675E-5</v>
      </c>
      <c r="G22" s="49">
        <v>0.3</v>
      </c>
    </row>
    <row r="23" spans="1:7" x14ac:dyDescent="0.25">
      <c r="A23" s="48">
        <v>0.64</v>
      </c>
      <c r="B23" s="49">
        <f>IFERROR(_xlfn.SINGLE(_xlfn.NORM.S.DIST(LN(A23/Calculator!$D$34)/Calculator!$D$26,TRUE())),"")</f>
        <v>0.9993808834864335</v>
      </c>
      <c r="C23" s="49">
        <f>IFERROR(_xlfn.SINGLE(_xlfn.NORM.S.DIST(LN(A23/Calculator!$D$35)/Calculator!$D$26,TRUE())),"")</f>
        <v>0.65744224169325016</v>
      </c>
      <c r="D23" s="49">
        <f>IFERROR(_xlfn.SINGLE(_xlfn.NORM.S.DIST(LN(A23/Calculator!$D$36)/Calculator!$D$26,TRUE())),"")</f>
        <v>7.0788323487310206E-2</v>
      </c>
      <c r="E23" s="49">
        <f>IFERROR(_xlfn.SINGLE(_xlfn.NORM.S.DIST(LN(A23/Calculator!$D$37)/Calculator!$D$26,TRUE())),"")</f>
        <v>3.1319370965833031E-2</v>
      </c>
      <c r="F23" s="49">
        <f>IFERROR(_xlfn.SINGLE(_xlfn.NORM.S.DIST(LN(A23/Calculator!$D$38)/Calculator!$D$26,TRUE())),"")</f>
        <v>3.2093527441802289E-5</v>
      </c>
      <c r="G23" s="49">
        <v>0.3</v>
      </c>
    </row>
    <row r="24" spans="1:7" x14ac:dyDescent="0.25">
      <c r="A24" s="48">
        <v>0.67</v>
      </c>
      <c r="B24" s="49">
        <f>IFERROR(_xlfn.SINGLE(_xlfn.NORM.S.DIST(LN(A24/Calculator!$D$34)/Calculator!$D$26,TRUE())),"")</f>
        <v>0.99958776674553085</v>
      </c>
      <c r="C24" s="49">
        <f>IFERROR(_xlfn.SINGLE(_xlfn.NORM.S.DIST(LN(A24/Calculator!$D$35)/Calculator!$D$26,TRUE())),"")</f>
        <v>0.69847391329774955</v>
      </c>
      <c r="D24" s="49">
        <f>IFERROR(_xlfn.SINGLE(_xlfn.NORM.S.DIST(LN(A24/Calculator!$D$36)/Calculator!$D$26,TRUE())),"")</f>
        <v>8.7641703757930942E-2</v>
      </c>
      <c r="E24" s="49">
        <f>IFERROR(_xlfn.SINGLE(_xlfn.NORM.S.DIST(LN(A24/Calculator!$D$37)/Calculator!$D$26,TRUE())),"")</f>
        <v>4.0299306639792518E-2</v>
      </c>
      <c r="F24" s="49">
        <f>IFERROR(_xlfn.SINGLE(_xlfn.NORM.S.DIST(LN(A24/Calculator!$D$38)/Calculator!$D$26,TRUE())),"")</f>
        <v>5.1727933087403216E-5</v>
      </c>
      <c r="G24" s="49">
        <v>0.3</v>
      </c>
    </row>
    <row r="25" spans="1:7" x14ac:dyDescent="0.25">
      <c r="A25" s="48">
        <v>0.7</v>
      </c>
      <c r="B25" s="49">
        <f>IFERROR(_xlfn.SINGLE(_xlfn.NORM.S.DIST(LN(A25/Calculator!$D$34)/Calculator!$D$26,TRUE())),"")</f>
        <v>0.99972378419645525</v>
      </c>
      <c r="C25" s="49">
        <f>IFERROR(_xlfn.SINGLE(_xlfn.NORM.S.DIST(LN(A25/Calculator!$D$35)/Calculator!$D$26,TRUE())),"")</f>
        <v>0.73549661429569901</v>
      </c>
      <c r="D25" s="49">
        <f>IFERROR(_xlfn.SINGLE(_xlfn.NORM.S.DIST(LN(A25/Calculator!$D$36)/Calculator!$D$26,TRUE())),"")</f>
        <v>0.10639787167881712</v>
      </c>
      <c r="E25" s="49">
        <f>IFERROR(_xlfn.SINGLE(_xlfn.NORM.S.DIST(LN(A25/Calculator!$D$37)/Calculator!$D$26,TRUE())),"")</f>
        <v>5.074039913610269E-2</v>
      </c>
      <c r="F25" s="49">
        <f>IFERROR(_xlfn.SINGLE(_xlfn.NORM.S.DIST(LN(A25/Calculator!$D$38)/Calculator!$D$26,TRUE())),"")</f>
        <v>8.0701853007174442E-5</v>
      </c>
      <c r="G25" s="49">
        <v>0.3</v>
      </c>
    </row>
    <row r="26" spans="1:7" x14ac:dyDescent="0.25">
      <c r="A26" s="48">
        <v>0.73</v>
      </c>
      <c r="B26" s="49">
        <f>IFERROR(_xlfn.SINGLE(_xlfn.NORM.S.DIST(LN(A26/Calculator!$D$34)/Calculator!$D$26,TRUE())),"")</f>
        <v>0.99981376918602061</v>
      </c>
      <c r="C26" s="49">
        <f>IFERROR(_xlfn.SINGLE(_xlfn.NORM.S.DIST(LN(A26/Calculator!$D$35)/Calculator!$D$26,TRUE())),"")</f>
        <v>0.76865768557159286</v>
      </c>
      <c r="D26" s="49">
        <f>IFERROR(_xlfn.SINGLE(_xlfn.NORM.S.DIST(LN(A26/Calculator!$D$36)/Calculator!$D$26,TRUE())),"")</f>
        <v>0.12693410449737674</v>
      </c>
      <c r="E26" s="49">
        <f>IFERROR(_xlfn.SINGLE(_xlfn.NORM.S.DIST(LN(A26/Calculator!$D$37)/Calculator!$D$26,TRUE())),"")</f>
        <v>6.2661801880657134E-2</v>
      </c>
      <c r="F26" s="49">
        <f>IFERROR(_xlfn.SINGLE(_xlfn.NORM.S.DIST(LN(A26/Calculator!$D$38)/Calculator!$D$26,TRUE())),"")</f>
        <v>1.2226417571039862E-4</v>
      </c>
      <c r="G26" s="49">
        <v>0.3</v>
      </c>
    </row>
    <row r="27" spans="1:7" x14ac:dyDescent="0.25">
      <c r="A27" s="48">
        <v>0.76</v>
      </c>
      <c r="B27" s="49">
        <f>IFERROR(_xlfn.SINGLE(_xlfn.NORM.S.DIST(LN(A27/Calculator!$D$34)/Calculator!$D$26,TRUE())),"")</f>
        <v>0.99987367035365615</v>
      </c>
      <c r="C27" s="49">
        <f>IFERROR(_xlfn.SINGLE(_xlfn.NORM.S.DIST(LN(A27/Calculator!$D$35)/Calculator!$D$26,TRUE())),"")</f>
        <v>0.79817440884771063</v>
      </c>
      <c r="D27" s="49">
        <f>IFERROR(_xlfn.SINGLE(_xlfn.NORM.S.DIST(LN(A27/Calculator!$D$36)/Calculator!$D$26,TRUE())),"")</f>
        <v>0.14909577373285121</v>
      </c>
      <c r="E27" s="49">
        <f>IFERROR(_xlfn.SINGLE(_xlfn.NORM.S.DIST(LN(A27/Calculator!$D$37)/Calculator!$D$26,TRUE())),"")</f>
        <v>7.6054527932115853E-2</v>
      </c>
      <c r="F27" s="49">
        <f>IFERROR(_xlfn.SINGLE(_xlfn.NORM.S.DIST(LN(A27/Calculator!$D$38)/Calculator!$D$26,TRUE())),"")</f>
        <v>1.8038140253289058E-4</v>
      </c>
      <c r="G27" s="49">
        <v>0.3</v>
      </c>
    </row>
    <row r="28" spans="1:7" x14ac:dyDescent="0.25">
      <c r="A28" s="48">
        <v>0.79</v>
      </c>
      <c r="B28" s="49">
        <f>IFERROR(_xlfn.SINGLE(_xlfn.NORM.S.DIST(LN(A28/Calculator!$D$34)/Calculator!$D$26,TRUE())),"")</f>
        <v>0.99991379024963523</v>
      </c>
      <c r="C28" s="49">
        <f>IFERROR(_xlfn.SINGLE(_xlfn.NORM.S.DIST(LN(A28/Calculator!$D$35)/Calculator!$D$26,TRUE())),"")</f>
        <v>0.82430704392767695</v>
      </c>
      <c r="D28" s="49">
        <f>IFERROR(_xlfn.SINGLE(_xlfn.NORM.S.DIST(LN(A28/Calculator!$D$36)/Calculator!$D$26,TRUE())),"")</f>
        <v>0.17270414894416977</v>
      </c>
      <c r="E28" s="49">
        <f>IFERROR(_xlfn.SINGLE(_xlfn.NORM.S.DIST(LN(A28/Calculator!$D$37)/Calculator!$D$26,TRUE())),"")</f>
        <v>9.0883330215599051E-2</v>
      </c>
      <c r="F28" s="49">
        <f>IFERROR(_xlfn.SINGLE(_xlfn.NORM.S.DIST(LN(A28/Calculator!$D$38)/Calculator!$D$26,TRUE())),"")</f>
        <v>2.5979117829401274E-4</v>
      </c>
      <c r="G28" s="49">
        <v>0.3</v>
      </c>
    </row>
    <row r="29" spans="1:7" x14ac:dyDescent="0.25">
      <c r="A29" s="48">
        <v>0.82</v>
      </c>
      <c r="B29" s="49">
        <f>IFERROR(_xlfn.SINGLE(_xlfn.NORM.S.DIST(LN(A29/Calculator!$D$34)/Calculator!$D$26,TRUE())),"")</f>
        <v>0.99994082379209359</v>
      </c>
      <c r="C29" s="49">
        <f>IFERROR(_xlfn.SINGLE(_xlfn.NORM.S.DIST(LN(A29/Calculator!$D$35)/Calculator!$D$26,TRUE())),"")</f>
        <v>0.84733797001367483</v>
      </c>
      <c r="D29" s="49">
        <f>IFERROR(_xlfn.SINGLE(_xlfn.NORM.S.DIST(LN(A29/Calculator!$D$36)/Calculator!$D$26,TRUE())),"")</f>
        <v>0.19756398355961877</v>
      </c>
      <c r="E29" s="49">
        <f>IFERROR(_xlfn.SINGLE(_xlfn.NORM.S.DIST(LN(A29/Calculator!$D$37)/Calculator!$D$26,TRUE())),"")</f>
        <v>0.10708937223465446</v>
      </c>
      <c r="F29" s="49">
        <f>IFERROR(_xlfn.SINGLE(_xlfn.NORM.S.DIST(LN(A29/Calculator!$D$38)/Calculator!$D$26,TRUE())),"")</f>
        <v>3.6604049329621061E-4</v>
      </c>
      <c r="G29" s="49">
        <v>0.3</v>
      </c>
    </row>
    <row r="30" spans="1:7" x14ac:dyDescent="0.25">
      <c r="A30" s="48">
        <v>0.85</v>
      </c>
      <c r="B30" s="49">
        <f>IFERROR(_xlfn.SINGLE(_xlfn.NORM.S.DIST(LN(A30/Calculator!$D$34)/Calculator!$D$26,TRUE())),"")</f>
        <v>0.99995914765090632</v>
      </c>
      <c r="C30" s="49">
        <f>IFERROR(_xlfn.SINGLE(_xlfn.NORM.S.DIST(LN(A30/Calculator!$D$35)/Calculator!$D$26,TRUE())),"")</f>
        <v>0.86755613693818945</v>
      </c>
      <c r="D30" s="49">
        <f>IFERROR(_xlfn.SINGLE(_xlfn.NORM.S.DIST(LN(A30/Calculator!$D$36)/Calculator!$D$26,TRUE())),"")</f>
        <v>0.22347054107086411</v>
      </c>
      <c r="E30" s="49">
        <f>IFERROR(_xlfn.SINGLE(_xlfn.NORM.S.DIST(LN(A30/Calculator!$D$37)/Calculator!$D$26,TRUE())),"")</f>
        <v>0.12459342515560598</v>
      </c>
      <c r="F30" s="49">
        <f>IFERROR(_xlfn.SINGLE(_xlfn.NORM.S.DIST(LN(A30/Calculator!$D$38)/Calculator!$D$26,TRUE())),"")</f>
        <v>5.0550660584294034E-4</v>
      </c>
      <c r="G30" s="49">
        <v>0.3</v>
      </c>
    </row>
    <row r="31" spans="1:7" x14ac:dyDescent="0.25">
      <c r="A31" s="48">
        <v>0.88</v>
      </c>
      <c r="B31" s="49">
        <f>IFERROR(_xlfn.SINGLE(_xlfn.NORM.S.DIST(LN(A31/Calculator!$D$34)/Calculator!$D$26,TRUE())),"")</f>
        <v>0.99997164013894979</v>
      </c>
      <c r="C31" s="49">
        <f>IFERROR(_xlfn.SINGLE(_xlfn.NORM.S.DIST(LN(A31/Calculator!$D$35)/Calculator!$D$26,TRUE())),"")</f>
        <v>0.88524593235598537</v>
      </c>
      <c r="D31" s="49">
        <f>IFERROR(_xlfn.SINGLE(_xlfn.NORM.S.DIST(LN(A31/Calculator!$D$36)/Calculator!$D$26,TRUE())),"")</f>
        <v>0.25021584026556731</v>
      </c>
      <c r="E31" s="49">
        <f>IFERROR(_xlfn.SINGLE(_xlfn.NORM.S.DIST(LN(A31/Calculator!$D$37)/Calculator!$D$26,TRUE())),"")</f>
        <v>0.14329935475124589</v>
      </c>
      <c r="F31" s="49">
        <f>IFERROR(_xlfn.SINGLE(_xlfn.NORM.S.DIST(LN(A31/Calculator!$D$38)/Calculator!$D$26,TRUE())),"")</f>
        <v>6.8539951099466396E-4</v>
      </c>
      <c r="G31" s="49">
        <v>0.3</v>
      </c>
    </row>
    <row r="32" spans="1:7" x14ac:dyDescent="0.25">
      <c r="A32" s="48">
        <v>0.91</v>
      </c>
      <c r="B32" s="49">
        <f>IFERROR(_xlfn.SINGLE(_xlfn.NORM.S.DIST(LN(A32/Calculator!$D$34)/Calculator!$D$26,TRUE())),"")</f>
        <v>0.99998020544570076</v>
      </c>
      <c r="C32" s="49">
        <f>IFERROR(_xlfn.SINGLE(_xlfn.NORM.S.DIST(LN(A32/Calculator!$D$35)/Calculator!$D$26,TRUE())),"")</f>
        <v>0.90067959284501886</v>
      </c>
      <c r="D32" s="49">
        <f>IFERROR(_xlfn.SINGLE(_xlfn.NORM.S.DIST(LN(A32/Calculator!$D$36)/Calculator!$D$26,TRUE())),"")</f>
        <v>0.27759399885618563</v>
      </c>
      <c r="E32" s="49">
        <f>IFERROR(_xlfn.SINGLE(_xlfn.NORM.S.DIST(LN(A32/Calculator!$D$37)/Calculator!$D$26,TRUE())),"")</f>
        <v>0.16309769803484103</v>
      </c>
      <c r="F32" s="49">
        <f>IFERROR(_xlfn.SINGLE(_xlfn.NORM.S.DIST(LN(A32/Calculator!$D$38)/Calculator!$D$26,TRUE())),"")</f>
        <v>9.1374555402168366E-4</v>
      </c>
      <c r="G32" s="49">
        <v>0.3</v>
      </c>
    </row>
    <row r="33" spans="1:7" x14ac:dyDescent="0.25">
      <c r="A33" s="48">
        <v>0.94</v>
      </c>
      <c r="B33" s="49">
        <f>IFERROR(_xlfn.SINGLE(_xlfn.NORM.S.DIST(LN(A33/Calculator!$D$34)/Calculator!$D$26,TRUE())),"")</f>
        <v>0.99998611073026955</v>
      </c>
      <c r="C33" s="49">
        <f>IFERROR(_xlfn.SINGLE(_xlfn.NORM.S.DIST(LN(A33/Calculator!$D$35)/Calculator!$D$26,TRUE())),"")</f>
        <v>0.91411237302808923</v>
      </c>
      <c r="D33" s="49">
        <f>IFERROR(_xlfn.SINGLE(_xlfn.NORM.S.DIST(LN(A33/Calculator!$D$36)/Calculator!$D$26,TRUE())),"")</f>
        <v>0.30540563421127243</v>
      </c>
      <c r="E33" s="49">
        <f>IFERROR(_xlfn.SINGLE(_xlfn.NORM.S.DIST(LN(A33/Calculator!$D$37)/Calculator!$D$26,TRUE())),"")</f>
        <v>0.18386916900141961</v>
      </c>
      <c r="F33" s="49">
        <f>IFERROR(_xlfn.SINGLE(_xlfn.NORM.S.DIST(LN(A33/Calculator!$D$38)/Calculator!$D$26,TRUE())),"")</f>
        <v>1.1993525117535578E-3</v>
      </c>
      <c r="G33" s="49">
        <v>0.3</v>
      </c>
    </row>
    <row r="34" spans="1:7" x14ac:dyDescent="0.25">
      <c r="A34" s="48">
        <v>0.97</v>
      </c>
      <c r="B34" s="49">
        <f>IFERROR(_xlfn.SINGLE(_xlfn.NORM.S.DIST(LN(A34/Calculator!$D$34)/Calculator!$D$26,TRUE())),"")</f>
        <v>0.99999020412484063</v>
      </c>
      <c r="C34" s="49">
        <f>IFERROR(_xlfn.SINGLE(_xlfn.NORM.S.DIST(LN(A34/Calculator!$D$35)/Calculator!$D$26,TRUE())),"")</f>
        <v>0.92577980029089524</v>
      </c>
      <c r="D34" s="49">
        <f>IFERROR(_xlfn.SINGLE(_xlfn.NORM.S.DIST(LN(A34/Calculator!$D$36)/Calculator!$D$26,TRUE())),"")</f>
        <v>0.33346133883552731</v>
      </c>
      <c r="E34" s="49">
        <f>IFERROR(_xlfn.SINGLE(_xlfn.NORM.S.DIST(LN(A34/Calculator!$D$37)/Calculator!$D$26,TRUE())),"")</f>
        <v>0.20548797182407633</v>
      </c>
      <c r="F34" s="49">
        <f>IFERROR(_xlfn.SINGLE(_xlfn.NORM.S.DIST(LN(A34/Calculator!$D$38)/Calculator!$D$26,TRUE())),"")</f>
        <v>1.5517571087596705E-3</v>
      </c>
      <c r="G34" s="49">
        <v>0.3</v>
      </c>
    </row>
    <row r="35" spans="1:7" x14ac:dyDescent="0.25">
      <c r="A35" s="48">
        <v>1</v>
      </c>
      <c r="B35" s="49">
        <f>IFERROR(_xlfn.SINGLE(_xlfn.NORM.S.DIST(LN(A35/Calculator!$D$34)/Calculator!$D$26,TRUE())),"")</f>
        <v>0.99999305653454729</v>
      </c>
      <c r="C35" s="49">
        <f>IFERROR(_xlfn.SINGLE(_xlfn.NORM.S.DIST(LN(A35/Calculator!$D$35)/Calculator!$D$26,TRUE())),"")</f>
        <v>0.93589646112400637</v>
      </c>
      <c r="D35" s="49">
        <f>IFERROR(_xlfn.SINGLE(_xlfn.NORM.S.DIST(LN(A35/Calculator!$D$36)/Calculator!$D$26,TRUE())),"")</f>
        <v>0.36158428914055851</v>
      </c>
      <c r="E35" s="49">
        <f>IFERROR(_xlfn.SINGLE(_xlfn.NORM.S.DIST(LN(A35/Calculator!$D$37)/Calculator!$D$26,TRUE())),"")</f>
        <v>0.22782483561262748</v>
      </c>
      <c r="F35" s="49">
        <f>IFERROR(_xlfn.SINGLE(_xlfn.NORM.S.DIST(LN(A35/Calculator!$D$38)/Calculator!$D$26,TRUE())),"")</f>
        <v>1.981156476112213E-3</v>
      </c>
      <c r="G35" s="49">
        <v>0.3</v>
      </c>
    </row>
    <row r="36" spans="1:7" x14ac:dyDescent="0.25">
      <c r="A36" s="48">
        <v>1.03</v>
      </c>
      <c r="B36" s="49">
        <f>IFERROR(_xlfn.SINGLE(_xlfn.NORM.S.DIST(LN(A36/Calculator!$D$34)/Calculator!$D$26,TRUE())),"")</f>
        <v>0.99999505440179792</v>
      </c>
      <c r="C36" s="49">
        <f>IFERROR(_xlfn.SINGLE(_xlfn.NORM.S.DIST(LN(A36/Calculator!$D$35)/Calculator!$D$26,TRUE())),"")</f>
        <v>0.94465587618106128</v>
      </c>
      <c r="D36" s="49">
        <f>IFERROR(_xlfn.SINGLE(_xlfn.NORM.S.DIST(LN(A36/Calculator!$D$36)/Calculator!$D$26,TRUE())),"")</f>
        <v>0.38961207190078401</v>
      </c>
      <c r="E36" s="49">
        <f>IFERROR(_xlfn.SINGLE(_xlfn.NORM.S.DIST(LN(A36/Calculator!$D$37)/Calculator!$D$26,TRUE())),"")</f>
        <v>0.25074971601139201</v>
      </c>
      <c r="F36" s="49">
        <f>IFERROR(_xlfn.SINGLE(_xlfn.NORM.S.DIST(LN(A36/Calculator!$D$38)/Calculator!$D$26,TRUE())),"")</f>
        <v>2.498325486587905E-3</v>
      </c>
      <c r="G36" s="49">
        <v>0.3</v>
      </c>
    </row>
    <row r="37" spans="1:7" x14ac:dyDescent="0.25">
      <c r="A37" s="48">
        <v>1.06</v>
      </c>
      <c r="B37" s="49">
        <f>IFERROR(_xlfn.SINGLE(_xlfn.NORM.S.DIST(LN(A37/Calculator!$D$34)/Calculator!$D$26,TRUE())),"")</f>
        <v>0.99999646073863568</v>
      </c>
      <c r="C37" s="49">
        <f>IFERROR(_xlfn.SINGLE(_xlfn.NORM.S.DIST(LN(A37/Calculator!$D$35)/Calculator!$D$26,TRUE())),"")</f>
        <v>0.95223111886866396</v>
      </c>
      <c r="D37" s="49">
        <f>IFERROR(_xlfn.SINGLE(_xlfn.NORM.S.DIST(LN(A37/Calculator!$D$36)/Calculator!$D$26,TRUE())),"")</f>
        <v>0.4173978267089305</v>
      </c>
      <c r="E37" s="49">
        <f>IFERROR(_xlfn.SINGLE(_xlfn.NORM.S.DIST(LN(A37/Calculator!$D$37)/Calculator!$D$26,TRUE())),"")</f>
        <v>0.27413413488933602</v>
      </c>
      <c r="F37" s="49">
        <f>IFERROR(_xlfn.SINGLE(_xlfn.NORM.S.DIST(LN(A37/Calculator!$D$38)/Calculator!$D$26,TRUE())),"")</f>
        <v>3.1145222083783799E-3</v>
      </c>
      <c r="G37" s="49">
        <v>0.3</v>
      </c>
    </row>
    <row r="38" spans="1:7" x14ac:dyDescent="0.25">
      <c r="A38" s="48">
        <v>1.0900000000000001</v>
      </c>
      <c r="B38" s="49">
        <f>IFERROR(_xlfn.SINGLE(_xlfn.NORM.S.DIST(LN(A38/Calculator!$D$34)/Calculator!$D$26,TRUE())),"")</f>
        <v>0.99999745550851937</v>
      </c>
      <c r="C38" s="49">
        <f>IFERROR(_xlfn.SINGLE(_xlfn.NORM.S.DIST(LN(A38/Calculator!$D$35)/Calculator!$D$26,TRUE())),"")</f>
        <v>0.95877591464481249</v>
      </c>
      <c r="D38" s="49">
        <f>IFERROR(_xlfn.SINGLE(_xlfn.NORM.S.DIST(LN(A38/Calculator!$D$36)/Calculator!$D$26,TRUE())),"")</f>
        <v>0.44481080763885372</v>
      </c>
      <c r="E38" s="49">
        <f>IFERROR(_xlfn.SINGLE(_xlfn.NORM.S.DIST(LN(A38/Calculator!$D$37)/Calculator!$D$26,TRUE())),"")</f>
        <v>0.29785315012499347</v>
      </c>
      <c r="F38" s="49">
        <f>IFERROR(_xlfn.SINGLE(_xlfn.NORM.S.DIST(LN(A38/Calculator!$D$38)/Calculator!$D$26,TRUE())),"")</f>
        <v>3.841383913391548E-3</v>
      </c>
      <c r="G38" s="49">
        <v>0.3</v>
      </c>
    </row>
    <row r="39" spans="1:7" x14ac:dyDescent="0.25">
      <c r="A39" s="48">
        <v>1.1200000000000001</v>
      </c>
      <c r="B39" s="49">
        <f>IFERROR(_xlfn.SINGLE(_xlfn.NORM.S.DIST(LN(A39/Calculator!$D$34)/Calculator!$D$26,TRUE())),"")</f>
        <v>0.99999816249351015</v>
      </c>
      <c r="C39" s="49">
        <f>IFERROR(_xlfn.SINGLE(_xlfn.NORM.S.DIST(LN(A39/Calculator!$D$35)/Calculator!$D$26,TRUE())),"")</f>
        <v>0.96442602543706957</v>
      </c>
      <c r="D39" s="49">
        <f>IFERROR(_xlfn.SINGLE(_xlfn.NORM.S.DIST(LN(A39/Calculator!$D$36)/Calculator!$D$26,TRUE())),"")</f>
        <v>0.47173646572625511</v>
      </c>
      <c r="E39" s="49">
        <f>IFERROR(_xlfn.SINGLE(_xlfn.NORM.S.DIST(LN(A39/Calculator!$D$37)/Calculator!$D$26,TRUE())),"")</f>
        <v>0.32178696334233836</v>
      </c>
      <c r="F39" s="49">
        <f>IFERROR(_xlfn.SINGLE(_xlfn.NORM.S.DIST(LN(A39/Calculator!$D$38)/Calculator!$D$26,TRUE())),"")</f>
        <v>4.6908161648285696E-3</v>
      </c>
      <c r="G39" s="49">
        <v>0.3</v>
      </c>
    </row>
    <row r="40" spans="1:7" x14ac:dyDescent="0.25">
      <c r="A40" s="48">
        <v>1.1499999999999999</v>
      </c>
      <c r="B40" s="49">
        <f>IFERROR(_xlfn.SINGLE(_xlfn.NORM.S.DIST(LN(A40/Calculator!$D$34)/Calculator!$D$26,TRUE())),"")</f>
        <v>0.99999866726769093</v>
      </c>
      <c r="C40" s="49">
        <f>IFERROR(_xlfn.SINGLE(_xlfn.NORM.S.DIST(LN(A40/Calculator!$D$35)/Calculator!$D$26,TRUE())),"")</f>
        <v>0.96930077710071771</v>
      </c>
      <c r="D40" s="49">
        <f>IFERROR(_xlfn.SINGLE(_xlfn.NORM.S.DIST(LN(A40/Calculator!$D$36)/Calculator!$D$26,TRUE())),"")</f>
        <v>0.49807614789505156</v>
      </c>
      <c r="E40" s="49">
        <f>IFERROR(_xlfn.SINGLE(_xlfn.NORM.S.DIST(LN(A40/Calculator!$D$37)/Calculator!$D$26,TRUE())),"")</f>
        <v>0.34582218495455674</v>
      </c>
      <c r="F40" s="49">
        <f>IFERROR(_xlfn.SINGLE(_xlfn.NORM.S.DIST(LN(A40/Calculator!$D$38)/Calculator!$D$26,TRUE())),"")</f>
        <v>5.6748775041555125E-3</v>
      </c>
      <c r="G40" s="49">
        <v>0.3</v>
      </c>
    </row>
    <row r="41" spans="1:7" x14ac:dyDescent="0.25">
      <c r="A41" s="48">
        <v>1.18</v>
      </c>
      <c r="B41" s="49">
        <f>IFERROR(_xlfn.SINGLE(_xlfn.NORM.S.DIST(LN(A41/Calculator!$D$34)/Calculator!$D$26,TRUE())),"")</f>
        <v>0.99999902928553797</v>
      </c>
      <c r="C41" s="49">
        <f>IFERROR(_xlfn.SINGLE(_xlfn.NORM.S.DIST(LN(A41/Calculator!$D$35)/Calculator!$D$26,TRUE())),"")</f>
        <v>0.97350462951531946</v>
      </c>
      <c r="D41" s="49">
        <f>IFERROR(_xlfn.SINGLE(_xlfn.NORM.S.DIST(LN(A41/Calculator!$D$36)/Calculator!$D$26,TRUE())),"")</f>
        <v>0.52374649926245498</v>
      </c>
      <c r="E41" s="49">
        <f>IFERROR(_xlfn.SINGLE(_xlfn.NORM.S.DIST(LN(A41/Calculator!$D$37)/Calculator!$D$26,TRUE())),"")</f>
        <v>0.36985278365978747</v>
      </c>
      <c r="F41" s="49">
        <f>IFERROR(_xlfn.SINGLE(_xlfn.NORM.S.DIST(LN(A41/Calculator!$D$38)/Calculator!$D$26,TRUE())),"")</f>
        <v>6.8056621741085085E-3</v>
      </c>
      <c r="G41" s="49">
        <v>0.3</v>
      </c>
    </row>
    <row r="42" spans="1:7" x14ac:dyDescent="0.25">
      <c r="A42" s="48">
        <v>1.21</v>
      </c>
      <c r="B42" s="49">
        <f>IFERROR(_xlfn.SINGLE(_xlfn.NORM.S.DIST(LN(A42/Calculator!$D$34)/Calculator!$D$26,TRUE())),"")</f>
        <v>0.99999929005503807</v>
      </c>
      <c r="C42" s="49">
        <f>IFERROR(_xlfn.SINGLE(_xlfn.NORM.S.DIST(LN(A42/Calculator!$D$35)/Calculator!$D$26,TRUE())),"")</f>
        <v>0.97712872075721136</v>
      </c>
      <c r="D42" s="49">
        <f>IFERROR(_xlfn.SINGLE(_xlfn.NORM.S.DIST(LN(A42/Calculator!$D$36)/Calculator!$D$26,TRUE())),"")</f>
        <v>0.54867864562909874</v>
      </c>
      <c r="E42" s="49">
        <f>IFERROR(_xlfn.SINGLE(_xlfn.NORM.S.DIST(LN(A42/Calculator!$D$37)/Calculator!$D$26,TRUE())),"")</f>
        <v>0.39378075226461662</v>
      </c>
      <c r="F42" s="49">
        <f>IFERROR(_xlfn.SINGLE(_xlfn.NORM.S.DIST(LN(A42/Calculator!$D$38)/Calculator!$D$26,TRUE())),"")</f>
        <v>8.0951831670438134E-3</v>
      </c>
      <c r="G42" s="49">
        <v>0.3</v>
      </c>
    </row>
    <row r="43" spans="1:7" x14ac:dyDescent="0.25">
      <c r="A43" s="48">
        <v>1.24</v>
      </c>
      <c r="B43" s="49">
        <f>IFERROR(_xlfn.SINGLE(_xlfn.NORM.S.DIST(LN(A43/Calculator!$D$34)/Calculator!$D$26,TRUE())),"")</f>
        <v>0.99999947869216987</v>
      </c>
      <c r="C43" s="49">
        <f>IFERROR(_xlfn.SINGLE(_xlfn.NORM.S.DIST(LN(A43/Calculator!$D$35)/Calculator!$D$26,TRUE())),"")</f>
        <v>0.98025234066000111</v>
      </c>
      <c r="D43" s="49">
        <f>IFERROR(_xlfn.SINGLE(_xlfn.NORM.S.DIST(LN(A43/Calculator!$D$36)/Calculator!$D$26,TRUE())),"")</f>
        <v>0.57281722234168209</v>
      </c>
      <c r="E43" s="49">
        <f>IFERROR(_xlfn.SINGLE(_xlfn.NORM.S.DIST(LN(A43/Calculator!$D$37)/Calculator!$D$26,TRUE())),"")</f>
        <v>0.41751652401412009</v>
      </c>
      <c r="F43" s="49">
        <f>IFERROR(_xlfn.SINGLE(_xlfn.NORM.S.DIST(LN(A43/Calculator!$D$38)/Calculator!$D$26,TRUE())),"")</f>
        <v>9.5552576917197866E-3</v>
      </c>
      <c r="G43" s="49">
        <v>0.3</v>
      </c>
    </row>
    <row r="44" spans="1:7" x14ac:dyDescent="0.25">
      <c r="A44" s="48">
        <v>1.27</v>
      </c>
      <c r="B44" s="49">
        <f>IFERROR(_xlfn.SINGLE(_xlfn.NORM.S.DIST(LN(A44/Calculator!$D$34)/Calculator!$D$26,TRUE())),"")</f>
        <v>0.99999961571481133</v>
      </c>
      <c r="C44" s="49">
        <f>IFERROR(_xlfn.SINGLE(_xlfn.NORM.S.DIST(LN(A44/Calculator!$D$35)/Calculator!$D$26,TRUE())),"")</f>
        <v>0.98294430664064192</v>
      </c>
      <c r="D44" s="49">
        <f>IFERROR(_xlfn.SINGLE(_xlfn.NORM.S.DIST(LN(A44/Calculator!$D$36)/Calculator!$D$26,TRUE())),"")</f>
        <v>0.59611930526383516</v>
      </c>
      <c r="E44" s="49">
        <f>IFERROR(_xlfn.SINGLE(_xlfn.NORM.S.DIST(LN(A44/Calculator!$D$37)/Calculator!$D$26,TRUE())),"")</f>
        <v>0.44097917404747844</v>
      </c>
      <c r="F44" s="49">
        <f>IFERROR(_xlfn.SINGLE(_xlfn.NORM.S.DIST(LN(A44/Calculator!$D$38)/Calculator!$D$26,TRUE())),"")</f>
        <v>1.1197396920613143E-2</v>
      </c>
      <c r="G44" s="49">
        <v>0.3</v>
      </c>
    </row>
    <row r="45" spans="1:7" x14ac:dyDescent="0.25">
      <c r="A45" s="48">
        <v>1.3</v>
      </c>
      <c r="B45" s="49">
        <f>IFERROR(_xlfn.SINGLE(_xlfn.NORM.S.DIST(LN(A45/Calculator!$D$34)/Calculator!$D$26,TRUE())),"")</f>
        <v>0.9999997156469087</v>
      </c>
      <c r="C45" s="49">
        <f>IFERROR(_xlfn.SINGLE(_xlfn.NORM.S.DIST(LN(A45/Calculator!$D$35)/Calculator!$D$26,TRUE())),"")</f>
        <v>0.98526422732749064</v>
      </c>
      <c r="D45" s="49">
        <f>IFERROR(_xlfn.SINGLE(_xlfn.NORM.S.DIST(LN(A45/Calculator!$D$36)/Calculator!$D$26,TRUE())),"")</f>
        <v>0.61855328974216106</v>
      </c>
      <c r="E45" s="49">
        <f>IFERROR(_xlfn.SINGLE(_xlfn.NORM.S.DIST(LN(A45/Calculator!$D$37)/Calculator!$D$26,TRUE())),"")</f>
        <v>0.46409643966651026</v>
      </c>
      <c r="F45" s="49">
        <f>IFERROR(_xlfn.SINGLE(_xlfn.NORM.S.DIST(LN(A45/Calculator!$D$38)/Calculator!$D$26,TRUE())),"")</f>
        <v>1.3032701626981268E-2</v>
      </c>
      <c r="G45" s="49">
        <v>0.3</v>
      </c>
    </row>
    <row r="46" spans="1:7" x14ac:dyDescent="0.25">
      <c r="A46" s="48">
        <v>1.33</v>
      </c>
      <c r="B46" s="49">
        <f>IFERROR(_xlfn.SINGLE(_xlfn.NORM.S.DIST(LN(A46/Calculator!$D$34)/Calculator!$D$26,TRUE())),"")</f>
        <v>0.99999978881462404</v>
      </c>
      <c r="C46" s="49">
        <f>IFERROR(_xlfn.SINGLE(_xlfn.NORM.S.DIST(LN(A46/Calculator!$D$35)/Calculator!$D$26,TRUE())),"")</f>
        <v>0.98726364843174008</v>
      </c>
      <c r="D46" s="49">
        <f>IFERROR(_xlfn.SINGLE(_xlfn.NORM.S.DIST(LN(A46/Calculator!$D$36)/Calculator!$D$26,TRUE())),"")</f>
        <v>0.64009775447270434</v>
      </c>
      <c r="E46" s="49">
        <f>IFERROR(_xlfn.SINGLE(_xlfn.NORM.S.DIST(LN(A46/Calculator!$D$37)/Calculator!$D$26,TRUE())),"")</f>
        <v>0.48680459121261521</v>
      </c>
      <c r="F46" s="49">
        <f>IFERROR(_xlfn.SINGLE(_xlfn.NORM.S.DIST(LN(A46/Calculator!$D$38)/Calculator!$D$26,TRUE())),"")</f>
        <v>1.5071765057365513E-2</v>
      </c>
      <c r="G46" s="49">
        <v>0.3</v>
      </c>
    </row>
    <row r="47" spans="1:7" x14ac:dyDescent="0.25">
      <c r="A47" s="48">
        <v>1.36</v>
      </c>
      <c r="B47" s="49">
        <f>IFERROR(_xlfn.SINGLE(_xlfn.NORM.S.DIST(LN(A47/Calculator!$D$34)/Calculator!$D$26,TRUE())),"")</f>
        <v>0.99999984259101471</v>
      </c>
      <c r="C47" s="49">
        <f>IFERROR(_xlfn.SINGLE(_xlfn.NORM.S.DIST(LN(A47/Calculator!$D$35)/Calculator!$D$26,TRUE())),"")</f>
        <v>0.98898708138091773</v>
      </c>
      <c r="D47" s="49">
        <f>IFERROR(_xlfn.SINGLE(_xlfn.NORM.S.DIST(LN(A47/Calculator!$D$36)/Calculator!$D$26,TRUE())),"")</f>
        <v>0.66074033919447361</v>
      </c>
      <c r="E47" s="49">
        <f>IFERROR(_xlfn.SINGLE(_xlfn.NORM.S.DIST(LN(A47/Calculator!$D$37)/Calculator!$D$26,TRUE())),"")</f>
        <v>0.50904818283094277</v>
      </c>
      <c r="F47" s="49">
        <f>IFERROR(_xlfn.SINGLE(_xlfn.NORM.S.DIST(LN(A47/Calculator!$D$38)/Calculator!$D$26,TRUE())),"")</f>
        <v>1.73245841206567E-2</v>
      </c>
      <c r="G47" s="49">
        <v>0.3</v>
      </c>
    </row>
    <row r="48" spans="1:7" x14ac:dyDescent="0.25">
      <c r="A48" s="48">
        <v>1.39</v>
      </c>
      <c r="B48" s="49">
        <f>IFERROR(_xlfn.SINGLE(_xlfn.NORM.S.DIST(LN(A48/Calculator!$D$34)/Calculator!$D$26,TRUE())),"")</f>
        <v>0.99999988226253167</v>
      </c>
      <c r="C48" s="49">
        <f>IFERROR(_xlfn.SINGLE(_xlfn.NORM.S.DIST(LN(A48/Calculator!$D$35)/Calculator!$D$26,TRUE())),"")</f>
        <v>0.99047291921313385</v>
      </c>
      <c r="D48" s="49">
        <f>IFERROR(_xlfn.SINGLE(_xlfn.NORM.S.DIST(LN(A48/Calculator!$D$36)/Calculator!$D$26,TRUE())),"")</f>
        <v>0.68047665820530456</v>
      </c>
      <c r="E48" s="49">
        <f>IFERROR(_xlfn.SINGLE(_xlfn.NORM.S.DIST(LN(A48/Calculator!$D$37)/Calculator!$D$26,TRUE())),"")</f>
        <v>0.53077970952443176</v>
      </c>
      <c r="F48" s="49">
        <f>IFERROR(_xlfn.SINGLE(_xlfn.NORM.S.DIST(LN(A48/Calculator!$D$38)/Calculator!$D$26,TRUE())),"")</f>
        <v>1.9800479717046918E-2</v>
      </c>
      <c r="G48" s="49">
        <v>0.3</v>
      </c>
    </row>
    <row r="49" spans="1:7" x14ac:dyDescent="0.25">
      <c r="A49" s="48">
        <v>1.42</v>
      </c>
      <c r="B49" s="49">
        <f>IFERROR(_xlfn.SINGLE(_xlfn.NORM.S.DIST(LN(A49/Calculator!$D$34)/Calculator!$D$26,TRUE())),"")</f>
        <v>0.99999991163495394</v>
      </c>
      <c r="C49" s="49">
        <f>IFERROR(_xlfn.SINGLE(_xlfn.NORM.S.DIST(LN(A49/Calculator!$D$35)/Calculator!$D$26,TRUE())),"")</f>
        <v>0.9917542466803837</v>
      </c>
      <c r="D49" s="49">
        <f>IFERROR(_xlfn.SINGLE(_xlfn.NORM.S.DIST(LN(A49/Calculator!$D$36)/Calculator!$D$26,TRUE())),"")</f>
        <v>0.69930926579225261</v>
      </c>
      <c r="E49" s="49">
        <f>IFERROR(_xlfn.SINGLE(_xlfn.NORM.S.DIST(LN(A49/Calculator!$D$37)/Calculator!$D$26,TRUE())),"")</f>
        <v>0.55195919386865211</v>
      </c>
      <c r="F49" s="49">
        <f>IFERROR(_xlfn.SINGLE(_xlfn.NORM.S.DIST(LN(A49/Calculator!$D$38)/Calculator!$D$26,TRUE())),"")</f>
        <v>2.2508026785334815E-2</v>
      </c>
      <c r="G49" s="49">
        <v>0.3</v>
      </c>
    </row>
    <row r="50" spans="1:7" x14ac:dyDescent="0.25">
      <c r="A50" s="48">
        <v>1.45</v>
      </c>
      <c r="B50" s="49">
        <f>IFERROR(_xlfn.SINGLE(_xlfn.NORM.S.DIST(LN(A50/Calculator!$D$34)/Calculator!$D$26,TRUE())),"")</f>
        <v>0.99999993345897276</v>
      </c>
      <c r="C50" s="49">
        <f>IFERROR(_xlfn.SINGLE(_xlfn.NORM.S.DIST(LN(A50/Calculator!$D$35)/Calculator!$D$26,TRUE())),"")</f>
        <v>0.99285955286239813</v>
      </c>
      <c r="D50" s="49">
        <f>IFERROR(_xlfn.SINGLE(_xlfn.NORM.S.DIST(LN(A50/Calculator!$D$36)/Calculator!$D$26,TRUE())),"")</f>
        <v>0.7172466847338328</v>
      </c>
      <c r="E50" s="49">
        <f>IFERROR(_xlfn.SINGLE(_xlfn.NORM.S.DIST(LN(A50/Calculator!$D$37)/Calculator!$D$26,TRUE())),"")</f>
        <v>0.57255372272272231</v>
      </c>
      <c r="F50" s="49">
        <f>IFERROR(_xlfn.SINGLE(_xlfn.NORM.S.DIST(LN(A50/Calculator!$D$38)/Calculator!$D$26,TRUE())),"")</f>
        <v>2.5454994419746801E-2</v>
      </c>
      <c r="G50" s="49">
        <v>0.3</v>
      </c>
    </row>
    <row r="51" spans="1:7" x14ac:dyDescent="0.25">
      <c r="A51" s="48">
        <v>1.48</v>
      </c>
      <c r="B51" s="49">
        <f>IFERROR(_xlfn.SINGLE(_xlfn.NORM.S.DIST(LN(A51/Calculator!$D$34)/Calculator!$D$26,TRUE())),"")</f>
        <v>0.99999994973038653</v>
      </c>
      <c r="C51" s="49">
        <f>IFERROR(_xlfn.SINGLE(_xlfn.NORM.S.DIST(LN(A51/Calculator!$D$35)/Calculator!$D$26,TRUE())),"")</f>
        <v>0.99381335517708924</v>
      </c>
      <c r="D51" s="49">
        <f>IFERROR(_xlfn.SINGLE(_xlfn.NORM.S.DIST(LN(A51/Calculator!$D$36)/Calculator!$D$26,TRUE())),"")</f>
        <v>0.73430250498041494</v>
      </c>
      <c r="E51" s="49">
        <f>IFERROR(_xlfn.SINGLE(_xlfn.NORM.S.DIST(LN(A51/Calculator!$D$37)/Calculator!$D$26,TRUE())),"")</f>
        <v>0.59253695134035311</v>
      </c>
      <c r="F51" s="49">
        <f>IFERROR(_xlfn.SINGLE(_xlfn.NORM.S.DIST(LN(A51/Calculator!$D$38)/Calculator!$D$26,TRUE())),"")</f>
        <v>2.8648296200906764E-2</v>
      </c>
      <c r="G51" s="49">
        <v>0.3</v>
      </c>
    </row>
    <row r="52" spans="1:7" x14ac:dyDescent="0.25">
      <c r="A52" s="48">
        <v>1.51</v>
      </c>
      <c r="B52" s="49">
        <f>IFERROR(_xlfn.SINGLE(_xlfn.NORM.S.DIST(LN(A52/Calculator!$D$34)/Calculator!$D$26,TRUE())),"")</f>
        <v>0.99999996190273488</v>
      </c>
      <c r="C52" s="49">
        <f>IFERROR(_xlfn.SINGLE(_xlfn.NORM.S.DIST(LN(A52/Calculator!$D$35)/Calculator!$D$26,TRUE())),"")</f>
        <v>0.99463674373398481</v>
      </c>
      <c r="D52" s="49">
        <f>IFERROR(_xlfn.SINGLE(_xlfn.NORM.S.DIST(LN(A52/Calculator!$D$36)/Calculator!$D$26,TRUE())),"")</f>
        <v>0.75049455635538631</v>
      </c>
      <c r="E52" s="49">
        <f>IFERROR(_xlfn.SINGLE(_xlfn.NORM.S.DIST(LN(A52/Calculator!$D$37)/Calculator!$D$26,TRUE())),"")</f>
        <v>0.61188858953160796</v>
      </c>
      <c r="F52" s="49">
        <f>IFERROR(_xlfn.SINGLE(_xlfn.NORM.S.DIST(LN(A52/Calculator!$D$38)/Calculator!$D$26,TRUE())),"")</f>
        <v>3.2093950701841317E-2</v>
      </c>
      <c r="G52" s="49">
        <v>0.3</v>
      </c>
    </row>
    <row r="53" spans="1:7" x14ac:dyDescent="0.25">
      <c r="A53" s="48">
        <v>1.54</v>
      </c>
      <c r="B53" s="49">
        <f>IFERROR(_xlfn.SINGLE(_xlfn.NORM.S.DIST(LN(A53/Calculator!$D$34)/Calculator!$D$26,TRUE())),"")</f>
        <v>0.99999997103852623</v>
      </c>
      <c r="C53" s="49">
        <f>IFERROR(_xlfn.SINGLE(_xlfn.NORM.S.DIST(LN(A53/Calculator!$D$35)/Calculator!$D$26,TRUE())),"")</f>
        <v>0.99534785469305853</v>
      </c>
      <c r="D53" s="49">
        <f>IFERROR(_xlfn.SINGLE(_xlfn.NORM.S.DIST(LN(A53/Calculator!$D$36)/Calculator!$D$26,TRUE())),"")</f>
        <v>0.76584415654314897</v>
      </c>
      <c r="E53" s="49">
        <f>IFERROR(_xlfn.SINGLE(_xlfn.NORM.S.DIST(LN(A53/Calculator!$D$37)/Calculator!$D$26,TRUE())),"")</f>
        <v>0.63059388199613142</v>
      </c>
      <c r="F53" s="49">
        <f>IFERROR(_xlfn.SINGLE(_xlfn.NORM.S.DIST(LN(A53/Calculator!$D$38)/Calculator!$D$26,TRUE())),"")</f>
        <v>3.5797051969928093E-2</v>
      </c>
      <c r="G53" s="49">
        <v>0.3</v>
      </c>
    </row>
    <row r="54" spans="1:7" x14ac:dyDescent="0.25">
      <c r="A54" s="48">
        <v>1.57</v>
      </c>
      <c r="B54" s="49">
        <f>IFERROR(_xlfn.SINGLE(_xlfn.NORM.S.DIST(LN(A54/Calculator!$D$34)/Calculator!$D$26,TRUE())),"")</f>
        <v>0.99999997791722228</v>
      </c>
      <c r="C54" s="49">
        <f>IFERROR(_xlfn.SINGLE(_xlfn.NORM.S.DIST(LN(A54/Calculator!$D$35)/Calculator!$D$26,TRUE())),"")</f>
        <v>0.99596228079346982</v>
      </c>
      <c r="D54" s="49">
        <f>IFERROR(_xlfn.SINGLE(_xlfn.NORM.S.DIST(LN(A54/Calculator!$D$36)/Calculator!$D$26,TRUE())),"")</f>
        <v>0.78037543364266804</v>
      </c>
      <c r="E54" s="49">
        <f>IFERROR(_xlfn.SINGLE(_xlfn.NORM.S.DIST(LN(A54/Calculator!$D$37)/Calculator!$D$26,TRUE())),"")</f>
        <v>0.64864309266693865</v>
      </c>
      <c r="F54" s="49">
        <f>IFERROR(_xlfn.SINGLE(_xlfn.NORM.S.DIST(LN(A54/Calculator!$D$38)/Calculator!$D$26,TRUE())),"")</f>
        <v>3.9761749649616013E-2</v>
      </c>
      <c r="G54" s="49">
        <v>0.3</v>
      </c>
    </row>
    <row r="55" spans="1:7" x14ac:dyDescent="0.25">
      <c r="A55" s="48">
        <v>1.6</v>
      </c>
      <c r="B55" s="49">
        <f>IFERROR(_xlfn.SINGLE(_xlfn.NORM.S.DIST(LN(A55/Calculator!$D$34)/Calculator!$D$26,TRUE())),"")</f>
        <v>0.99999998311264449</v>
      </c>
      <c r="C55" s="49">
        <f>IFERROR(_xlfn.SINGLE(_xlfn.NORM.S.DIST(LN(A55/Calculator!$D$35)/Calculator!$D$26,TRUE())),"")</f>
        <v>0.99649342659799789</v>
      </c>
      <c r="D55" s="49">
        <f>IFERROR(_xlfn.SINGLE(_xlfn.NORM.S.DIST(LN(A55/Calculator!$D$36)/Calculator!$D$26,TRUE())),"")</f>
        <v>0.79411472107506953</v>
      </c>
      <c r="E55" s="49">
        <f>IFERROR(_xlfn.SINGLE(_xlfn.NORM.S.DIST(LN(A55/Calculator!$D$37)/Calculator!$D$26,TRUE())),"")</f>
        <v>0.6660310008791287</v>
      </c>
      <c r="F55" s="49">
        <f>IFERROR(_xlfn.SINGLE(_xlfn.NORM.S.DIST(LN(A55/Calculator!$D$38)/Calculator!$D$26,TRUE())),"")</f>
        <v>4.3991238298030019E-2</v>
      </c>
      <c r="G55" s="49">
        <v>0.3</v>
      </c>
    </row>
    <row r="56" spans="1:7" x14ac:dyDescent="0.25">
      <c r="A56" s="48">
        <v>1.63</v>
      </c>
      <c r="B56" s="49">
        <f>IFERROR(_xlfn.SINGLE(_xlfn.NORM.S.DIST(LN(A56/Calculator!$D$34)/Calculator!$D$26,TRUE())),"")</f>
        <v>0.9999999870486721</v>
      </c>
      <c r="C56" s="49">
        <f>IFERROR(_xlfn.SINGLE(_xlfn.NORM.S.DIST(LN(A56/Calculator!$D$35)/Calculator!$D$26,TRUE())),"")</f>
        <v>0.99695281532442326</v>
      </c>
      <c r="D56" s="49">
        <f>IFERROR(_xlfn.SINGLE(_xlfn.NORM.S.DIST(LN(A56/Calculator!$D$36)/Calculator!$D$26,TRUE())),"")</f>
        <v>0.80709002155666765</v>
      </c>
      <c r="E56" s="49">
        <f>IFERROR(_xlfn.SINGLE(_xlfn.NORM.S.DIST(LN(A56/Calculator!$D$37)/Calculator!$D$26,TRUE())),"")</f>
        <v>0.68275641540727516</v>
      </c>
      <c r="F56" s="49">
        <f>IFERROR(_xlfn.SINGLE(_xlfn.NORM.S.DIST(LN(A56/Calculator!$D$38)/Calculator!$D$26,TRUE())),"")</f>
        <v>4.8487755355152977E-2</v>
      </c>
      <c r="G56" s="49">
        <v>0.3</v>
      </c>
    </row>
    <row r="57" spans="1:7" x14ac:dyDescent="0.25">
      <c r="A57" s="48">
        <v>1.66</v>
      </c>
      <c r="B57" s="49">
        <f>IFERROR(_xlfn.SINGLE(_xlfn.NORM.S.DIST(LN(A57/Calculator!$D$34)/Calculator!$D$26,TRUE())),"")</f>
        <v>0.99999999003946838</v>
      </c>
      <c r="C57" s="49">
        <f>IFERROR(_xlfn.SINGLE(_xlfn.NORM.S.DIST(LN(A57/Calculator!$D$35)/Calculator!$D$26,TRUE())),"")</f>
        <v>0.99735035344913581</v>
      </c>
      <c r="D57" s="49">
        <f>IFERROR(_xlfn.SINGLE(_xlfn.NORM.S.DIST(LN(A57/Calculator!$D$36)/Calculator!$D$26,TRUE())),"")</f>
        <v>0.81933053610987783</v>
      </c>
      <c r="E57" s="49">
        <f>IFERROR(_xlfn.SINGLE(_xlfn.NORM.S.DIST(LN(A57/Calculator!$D$37)/Calculator!$D$26,TRUE())),"")</f>
        <v>0.69882171088800837</v>
      </c>
      <c r="F57" s="49">
        <f>IFERROR(_xlfn.SINGLE(_xlfn.NORM.S.DIST(LN(A57/Calculator!$D$38)/Calculator!$D$26,TRUE())),"")</f>
        <v>5.3252587160715251E-2</v>
      </c>
      <c r="G57" s="49">
        <v>0.3</v>
      </c>
    </row>
    <row r="58" spans="1:7" x14ac:dyDescent="0.25">
      <c r="A58" s="48">
        <v>1.69</v>
      </c>
      <c r="B58" s="49">
        <f>IFERROR(_xlfn.SINGLE(_xlfn.NORM.S.DIST(LN(A58/Calculator!$D$34)/Calculator!$D$26,TRUE())),"")</f>
        <v>0.99999999231863945</v>
      </c>
      <c r="C58" s="49">
        <f>IFERROR(_xlfn.SINGLE(_xlfn.NORM.S.DIST(LN(A58/Calculator!$D$35)/Calculator!$D$26,TRUE())),"")</f>
        <v>0.99769455860001133</v>
      </c>
      <c r="D58" s="49">
        <f>IFERROR(_xlfn.SINGLE(_xlfn.NORM.S.DIST(LN(A58/Calculator!$D$36)/Calculator!$D$26,TRUE())),"")</f>
        <v>0.83086625361814803</v>
      </c>
      <c r="E58" s="49">
        <f>IFERROR(_xlfn.SINGLE(_xlfn.NORM.S.DIST(LN(A58/Calculator!$D$37)/Calculator!$D$26,TRUE())),"")</f>
        <v>0.71423238984437709</v>
      </c>
      <c r="F58" s="49">
        <f>IFERROR(_xlfn.SINGLE(_xlfn.NORM.S.DIST(LN(A58/Calculator!$D$38)/Calculator!$D$26,TRUE())),"")</f>
        <v>5.828608235950497E-2</v>
      </c>
      <c r="G58" s="49">
        <v>0.3</v>
      </c>
    </row>
    <row r="59" spans="1:7" x14ac:dyDescent="0.25">
      <c r="A59" s="48">
        <v>1.72</v>
      </c>
      <c r="B59" s="49">
        <f>IFERROR(_xlfn.SINGLE(_xlfn.NORM.S.DIST(LN(A59/Calculator!$D$34)/Calculator!$D$26,TRUE())),"")</f>
        <v>0.99999999406044349</v>
      </c>
      <c r="C59" s="49">
        <f>IFERROR(_xlfn.SINGLE(_xlfn.NORM.S.DIST(LN(A59/Calculator!$D$35)/Calculator!$D$26,TRUE())),"")</f>
        <v>0.99799275562333756</v>
      </c>
      <c r="D59" s="49">
        <f>IFERROR(_xlfn.SINGLE(_xlfn.NORM.S.DIST(LN(A59/Calculator!$D$36)/Calculator!$D$26,TRUE())),"")</f>
        <v>0.84172759618087989</v>
      </c>
      <c r="E59" s="49">
        <f>IFERROR(_xlfn.SINGLE(_xlfn.NORM.S.DIST(LN(A59/Calculator!$D$37)/Calculator!$D$26,TRUE())),"")</f>
        <v>0.72899667243684474</v>
      </c>
      <c r="F59" s="49">
        <f>IFERROR(_xlfn.SINGLE(_xlfn.NORM.S.DIST(LN(A59/Calculator!$D$38)/Calculator!$D$26,TRUE())),"")</f>
        <v>6.3587672003679485E-2</v>
      </c>
      <c r="G59" s="49">
        <v>0.3</v>
      </c>
    </row>
    <row r="60" spans="1:7" x14ac:dyDescent="0.25">
      <c r="A60" s="48">
        <v>1.75</v>
      </c>
      <c r="B60" s="49">
        <f>IFERROR(_xlfn.SINGLE(_xlfn.NORM.S.DIST(LN(A60/Calculator!$D$34)/Calculator!$D$26,TRUE())),"")</f>
        <v>0.99999999539527329</v>
      </c>
      <c r="C60" s="49">
        <f>IFERROR(_xlfn.SINGLE(_xlfn.NORM.S.DIST(LN(A60/Calculator!$D$35)/Calculator!$D$26,TRUE())),"")</f>
        <v>0.9982512451237695</v>
      </c>
      <c r="D60" s="49">
        <f>IFERROR(_xlfn.SINGLE(_xlfn.NORM.S.DIST(LN(A60/Calculator!$D$36)/Calculator!$D$26,TRUE())),"")</f>
        <v>0.85194511544236995</v>
      </c>
      <c r="E60" s="49">
        <f>IFERROR(_xlfn.SINGLE(_xlfn.NORM.S.DIST(LN(A60/Calculator!$D$37)/Calculator!$D$26,TRUE())),"")</f>
        <v>0.74312511516155455</v>
      </c>
      <c r="F60" s="49">
        <f>IFERROR(_xlfn.SINGLE(_xlfn.NORM.S.DIST(LN(A60/Calculator!$D$38)/Calculator!$D$26,TRUE())),"")</f>
        <v>6.9155895642853196E-2</v>
      </c>
      <c r="G60" s="49">
        <v>0.3</v>
      </c>
    </row>
    <row r="61" spans="1:7" x14ac:dyDescent="0.25">
      <c r="A61" s="48">
        <v>1.78</v>
      </c>
      <c r="B61" s="49">
        <f>IFERROR(_xlfn.SINGLE(_xlfn.NORM.S.DIST(LN(A61/Calculator!$D$34)/Calculator!$D$26,TRUE())),"")</f>
        <v>0.99999999642099513</v>
      </c>
      <c r="C61" s="49">
        <f>IFERROR(_xlfn.SINGLE(_xlfn.NORM.S.DIST(LN(A61/Calculator!$D$35)/Calculator!$D$26,TRUE())),"")</f>
        <v>0.99847544824197465</v>
      </c>
      <c r="D61" s="49">
        <f>IFERROR(_xlfn.SINGLE(_xlfn.NORM.S.DIST(LN(A61/Calculator!$D$36)/Calculator!$D$26,TRUE())),"")</f>
        <v>0.86154923511496384</v>
      </c>
      <c r="E61" s="49">
        <f>IFERROR(_xlfn.SINGLE(_xlfn.NORM.S.DIST(LN(A61/Calculator!$D$37)/Calculator!$D$26,TRUE())),"")</f>
        <v>0.75663025897876934</v>
      </c>
      <c r="F61" s="49">
        <f>IFERROR(_xlfn.SINGLE(_xlfn.NORM.S.DIST(LN(A61/Calculator!$D$38)/Calculator!$D$26,TRUE())),"")</f>
        <v>7.4988432688315315E-2</v>
      </c>
      <c r="G61" s="49">
        <v>0.3</v>
      </c>
    </row>
    <row r="62" spans="1:7" x14ac:dyDescent="0.25">
      <c r="A62" s="48">
        <v>1.81</v>
      </c>
      <c r="B62" s="49">
        <f>IFERROR(_xlfn.SINGLE(_xlfn.NORM.S.DIST(LN(A62/Calculator!$D$34)/Calculator!$D$26,TRUE())),"")</f>
        <v>0.99999999721128097</v>
      </c>
      <c r="C62" s="49">
        <f>IFERROR(_xlfn.SINGLE(_xlfn.NORM.S.DIST(LN(A62/Calculator!$D$35)/Calculator!$D$26,TRUE())),"")</f>
        <v>0.9986700309531481</v>
      </c>
      <c r="D62" s="49">
        <f>IFERROR(_xlfn.SINGLE(_xlfn.NORM.S.DIST(LN(A62/Calculator!$D$36)/Calculator!$D$26,TRUE())),"")</f>
        <v>0.87057003505766295</v>
      </c>
      <c r="E62" s="49">
        <f>IFERROR(_xlfn.SINGLE(_xlfn.NORM.S.DIST(LN(A62/Calculator!$D$37)/Calculator!$D$26,TRUE())),"")</f>
        <v>0.76952630676262535</v>
      </c>
      <c r="F62" s="49">
        <f>IFERROR(_xlfn.SINGLE(_xlfn.NORM.S.DIST(LN(A62/Calculator!$D$38)/Calculator!$D$26,TRUE())),"")</f>
        <v>8.1082138344768073E-2</v>
      </c>
      <c r="G62" s="49">
        <v>0.3</v>
      </c>
    </row>
    <row r="63" spans="1:7" x14ac:dyDescent="0.25">
      <c r="A63" s="48">
        <v>1.84</v>
      </c>
      <c r="B63" s="49">
        <f>IFERROR(_xlfn.SINGLE(_xlfn.NORM.S.DIST(LN(A63/Calculator!$D$34)/Calculator!$D$26,TRUE())),"")</f>
        <v>0.99999999782175075</v>
      </c>
      <c r="C63" s="49">
        <f>IFERROR(_xlfn.SINGLE(_xlfn.NORM.S.DIST(LN(A63/Calculator!$D$35)/Calculator!$D$26,TRUE())),"")</f>
        <v>0.99883901073983983</v>
      </c>
      <c r="D63" s="49">
        <f>IFERROR(_xlfn.SINGLE(_xlfn.NORM.S.DIST(LN(A63/Calculator!$D$36)/Calculator!$D$26,TRUE())),"")</f>
        <v>0.87903707248027285</v>
      </c>
      <c r="E63" s="49">
        <f>IFERROR(_xlfn.SINGLE(_xlfn.NORM.S.DIST(LN(A63/Calculator!$D$37)/Calculator!$D$26,TRUE())),"")</f>
        <v>0.78182882949798516</v>
      </c>
      <c r="F63" s="49">
        <f>IFERROR(_xlfn.SINGLE(_xlfn.NORM.S.DIST(LN(A63/Calculator!$D$38)/Calculator!$D$26,TRUE())),"")</f>
        <v>8.7433083419650712E-2</v>
      </c>
      <c r="G63" s="49">
        <v>0.3</v>
      </c>
    </row>
    <row r="64" spans="1:7" x14ac:dyDescent="0.25">
      <c r="A64" s="48">
        <v>1.87</v>
      </c>
      <c r="B64" s="49">
        <f>IFERROR(_xlfn.SINGLE(_xlfn.NORM.S.DIST(LN(A64/Calculator!$D$34)/Calculator!$D$26,TRUE())),"")</f>
        <v>0.99999999829451558</v>
      </c>
      <c r="C64" s="49">
        <f>IFERROR(_xlfn.SINGLE(_xlfn.NORM.S.DIST(LN(A64/Calculator!$D$35)/Calculator!$D$26,TRUE())),"")</f>
        <v>0.99898584811190461</v>
      </c>
      <c r="D64" s="49">
        <f>IFERROR(_xlfn.SINGLE(_xlfn.NORM.S.DIST(LN(A64/Calculator!$D$36)/Calculator!$D$26,TRUE())),"")</f>
        <v>0.88697923609794815</v>
      </c>
      <c r="E64" s="49">
        <f>IFERROR(_xlfn.SINGLE(_xlfn.NORM.S.DIST(LN(A64/Calculator!$D$37)/Calculator!$D$26,TRUE())),"")</f>
        <v>0.79355450029316077</v>
      </c>
      <c r="F64" s="49">
        <f>IFERROR(_xlfn.SINGLE(_xlfn.NORM.S.DIST(LN(A64/Calculator!$D$38)/Calculator!$D$26,TRUE())),"")</f>
        <v>9.4036597344699033E-2</v>
      </c>
      <c r="G64" s="49">
        <v>0.3</v>
      </c>
    </row>
    <row r="65" spans="1:7" x14ac:dyDescent="0.25">
      <c r="A65" s="48">
        <v>1.9</v>
      </c>
      <c r="B65" s="49">
        <f>IFERROR(_xlfn.SINGLE(_xlfn.NORM.S.DIST(LN(A65/Calculator!$D$34)/Calculator!$D$26,TRUE())),"")</f>
        <v>0.9999999986615471</v>
      </c>
      <c r="C65" s="49">
        <f>IFERROR(_xlfn.SINGLE(_xlfn.NORM.S.DIST(LN(A65/Calculator!$D$35)/Calculator!$D$26,TRUE())),"")</f>
        <v>0.99911352511137264</v>
      </c>
      <c r="D65" s="49">
        <f>IFERROR(_xlfn.SINGLE(_xlfn.NORM.S.DIST(LN(A65/Calculator!$D$36)/Calculator!$D$26,TRUE())),"")</f>
        <v>0.89442462934431588</v>
      </c>
      <c r="E65" s="49">
        <f>IFERROR(_xlfn.SINGLE(_xlfn.NORM.S.DIST(LN(A65/Calculator!$D$37)/Calculator!$D$26,TRUE())),"")</f>
        <v>0.80472085501201995</v>
      </c>
      <c r="F65" s="49">
        <f>IFERROR(_xlfn.SINGLE(_xlfn.NORM.S.DIST(LN(A65/Calculator!$D$38)/Calculator!$D$26,TRUE())),"")</f>
        <v>0.10088731377530616</v>
      </c>
      <c r="G65" s="49">
        <v>0.3</v>
      </c>
    </row>
    <row r="66" spans="1:7" x14ac:dyDescent="0.25">
      <c r="A66" s="48">
        <v>1.93</v>
      </c>
      <c r="B66" s="49">
        <f>IFERROR(_xlfn.SINGLE(_xlfn.NORM.S.DIST(LN(A66/Calculator!$D$34)/Calculator!$D$26,TRUE())),"")</f>
        <v>0.99999999894718483</v>
      </c>
      <c r="C66" s="49">
        <f>IFERROR(_xlfn.SINGLE(_xlfn.NORM.S.DIST(LN(A66/Calculator!$D$35)/Calculator!$D$26,TRUE())),"")</f>
        <v>0.99922461264666496</v>
      </c>
      <c r="D66" s="49">
        <f>IFERROR(_xlfn.SINGLE(_xlfn.NORM.S.DIST(LN(A66/Calculator!$D$36)/Calculator!$D$26,TRUE())),"")</f>
        <v>0.90140047904961396</v>
      </c>
      <c r="E66" s="49">
        <f>IFERROR(_xlfn.SINGLE(_xlfn.NORM.S.DIST(LN(A66/Calculator!$D$37)/Calculator!$D$26,TRUE())),"")</f>
        <v>0.81534607814065707</v>
      </c>
      <c r="F66" s="49">
        <f>IFERROR(_xlfn.SINGLE(_xlfn.NORM.S.DIST(LN(A66/Calculator!$D$38)/Calculator!$D$26,TRUE())),"")</f>
        <v>0.10797921816904349</v>
      </c>
      <c r="G66" s="49">
        <v>0.3</v>
      </c>
    </row>
    <row r="67" spans="1:7" x14ac:dyDescent="0.25">
      <c r="A67" s="48">
        <v>1.96</v>
      </c>
      <c r="B67" s="49">
        <f>IFERROR(_xlfn.SINGLE(_xlfn.NORM.S.DIST(LN(A67/Calculator!$D$34)/Calculator!$D$26,TRUE())),"")</f>
        <v>0.99999999917000781</v>
      </c>
      <c r="C67" s="49">
        <f>IFERROR(_xlfn.SINGLE(_xlfn.NORM.S.DIST(LN(A67/Calculator!$D$35)/Calculator!$D$26,TRUE())),"")</f>
        <v>0.99932132824478181</v>
      </c>
      <c r="D67" s="49">
        <f>IFERROR(_xlfn.SINGLE(_xlfn.NORM.S.DIST(LN(A67/Calculator!$D$36)/Calculator!$D$26,TRUE())),"")</f>
        <v>0.90793306629300918</v>
      </c>
      <c r="E67" s="49">
        <f>IFERROR(_xlfn.SINGLE(_xlfn.NORM.S.DIST(LN(A67/Calculator!$D$37)/Calculator!$D$26,TRUE())),"")</f>
        <v>0.82544881237918966</v>
      </c>
      <c r="F67" s="49">
        <f>IFERROR(_xlfn.SINGLE(_xlfn.NORM.S.DIST(LN(A67/Calculator!$D$38)/Calculator!$D$26,TRUE())),"")</f>
        <v>0.11530569678408603</v>
      </c>
      <c r="G67" s="49">
        <v>0.3</v>
      </c>
    </row>
    <row r="68" spans="1:7" x14ac:dyDescent="0.25">
      <c r="A68" s="48">
        <v>1.99</v>
      </c>
      <c r="B68" s="49">
        <f>IFERROR(_xlfn.SINGLE(_xlfn.NORM.S.DIST(LN(A68/Calculator!$D$34)/Calculator!$D$26,TRUE())),"")</f>
        <v>0.99999999934423434</v>
      </c>
      <c r="C68" s="49">
        <f>IFERROR(_xlfn.SINGLE(_xlfn.NORM.S.DIST(LN(A68/Calculator!$D$35)/Calculator!$D$26,TRUE())),"")</f>
        <v>0.99940558558783499</v>
      </c>
      <c r="D68" s="49">
        <f>IFERROR(_xlfn.SINGLE(_xlfn.NORM.S.DIST(LN(A68/Calculator!$D$36)/Calculator!$D$26,TRUE())),"")</f>
        <v>0.91404767643756124</v>
      </c>
      <c r="E68" s="49">
        <f>IFERROR(_xlfn.SINGLE(_xlfn.NORM.S.DIST(LN(A68/Calculator!$D$37)/Calculator!$D$26,TRUE())),"")</f>
        <v>0.83504799037678801</v>
      </c>
      <c r="F68" s="49">
        <f>IFERROR(_xlfn.SINGLE(_xlfn.NORM.S.DIST(LN(A68/Calculator!$D$38)/Calculator!$D$26,TRUE())),"")</f>
        <v>0.12285958658010865</v>
      </c>
      <c r="G68" s="49">
        <v>0.3</v>
      </c>
    </row>
    <row r="69" spans="1:7" x14ac:dyDescent="0.25">
      <c r="A69" s="48">
        <v>2.02</v>
      </c>
      <c r="B69" s="49">
        <f>IFERROR(_xlfn.SINGLE(_xlfn.NORM.S.DIST(LN(A69/Calculator!$D$34)/Calculator!$D$26,TRUE())),"")</f>
        <v>0.999999999480774</v>
      </c>
      <c r="C69" s="49">
        <f>IFERROR(_xlfn.SINGLE(_xlfn.NORM.S.DIST(LN(A69/Calculator!$D$35)/Calculator!$D$26,TRUE())),"")</f>
        <v>0.99947903700776597</v>
      </c>
      <c r="D69" s="49">
        <f>IFERROR(_xlfn.SINGLE(_xlfn.NORM.S.DIST(LN(A69/Calculator!$D$36)/Calculator!$D$26,TRUE())),"")</f>
        <v>0.91976856564640053</v>
      </c>
      <c r="E69" s="49">
        <f>IFERROR(_xlfn.SINGLE(_xlfn.NORM.S.DIST(LN(A69/Calculator!$D$37)/Calculator!$D$26,TRUE())),"")</f>
        <v>0.84416268699766084</v>
      </c>
      <c r="F69" s="49">
        <f>IFERROR(_xlfn.SINGLE(_xlfn.NORM.S.DIST(LN(A69/Calculator!$D$38)/Calculator!$D$26,TRUE())),"")</f>
        <v>0.13063322554748469</v>
      </c>
      <c r="G69" s="49">
        <v>0.3</v>
      </c>
    </row>
    <row r="70" spans="1:7" x14ac:dyDescent="0.25">
      <c r="A70" s="48">
        <v>2.0499999999999998</v>
      </c>
      <c r="B70" s="49">
        <f>IFERROR(_xlfn.SINGLE(_xlfn.NORM.S.DIST(LN(A70/Calculator!$D$34)/Calculator!$D$26,TRUE())),"")</f>
        <v>0.99999999958801766</v>
      </c>
      <c r="C70" s="49">
        <f>IFERROR(_xlfn.SINGLE(_xlfn.NORM.S.DIST(LN(A70/Calculator!$D$35)/Calculator!$D$26,TRUE())),"")</f>
        <v>0.9995431099467158</v>
      </c>
      <c r="D70" s="49">
        <f>IFERROR(_xlfn.SINGLE(_xlfn.NORM.S.DIST(LN(A70/Calculator!$D$36)/Calculator!$D$26,TRUE())),"")</f>
        <v>0.92511894145550932</v>
      </c>
      <c r="E70" s="49">
        <f>IFERROR(_xlfn.SINGLE(_xlfn.NORM.S.DIST(LN(A70/Calculator!$D$37)/Calculator!$D$26,TRUE())),"")</f>
        <v>0.85281199050881018</v>
      </c>
      <c r="F70" s="49">
        <f>IFERROR(_xlfn.SINGLE(_xlfn.NORM.S.DIST(LN(A70/Calculator!$D$38)/Calculator!$D$26,TRUE())),"")</f>
        <v>0.1386185030344636</v>
      </c>
      <c r="G70" s="49">
        <v>0.3</v>
      </c>
    </row>
    <row r="71" spans="1:7" x14ac:dyDescent="0.25">
      <c r="A71" s="48">
        <v>2.08</v>
      </c>
      <c r="B71" s="49">
        <f>IFERROR(_xlfn.SINGLE(_xlfn.NORM.S.DIST(LN(A71/Calculator!$D$34)/Calculator!$D$26,TRUE())),"")</f>
        <v>0.99999999967243569</v>
      </c>
      <c r="C71" s="49">
        <f>IFERROR(_xlfn.SINGLE(_xlfn.NORM.S.DIST(LN(A71/Calculator!$D$35)/Calculator!$D$26,TRUE())),"")</f>
        <v>0.99959903824704865</v>
      </c>
      <c r="D71" s="49">
        <f>IFERROR(_xlfn.SINGLE(_xlfn.NORM.S.DIST(LN(A71/Calculator!$D$36)/Calculator!$D$26,TRUE())),"")</f>
        <v>0.93012095523931515</v>
      </c>
      <c r="E71" s="49">
        <f>IFERROR(_xlfn.SINGLE(_xlfn.NORM.S.DIST(LN(A71/Calculator!$D$37)/Calculator!$D$26,TRUE())),"")</f>
        <v>0.86101489110953722</v>
      </c>
      <c r="F71" s="49">
        <f>IFERROR(_xlfn.SINGLE(_xlfn.NORM.S.DIST(LN(A71/Calculator!$D$38)/Calculator!$D$26,TRUE())),"")</f>
        <v>0.14680690968570137</v>
      </c>
      <c r="G71" s="49">
        <v>0.3</v>
      </c>
    </row>
    <row r="72" spans="1:7" x14ac:dyDescent="0.25">
      <c r="A72" s="48">
        <v>2.11</v>
      </c>
      <c r="B72" s="49">
        <f>IFERROR(_xlfn.SINGLE(_xlfn.NORM.S.DIST(LN(A72/Calculator!$D$34)/Calculator!$D$26,TRUE())),"")</f>
        <v>0.99999999973902864</v>
      </c>
      <c r="C72" s="49">
        <f>IFERROR(_xlfn.SINGLE(_xlfn.NORM.S.DIST(LN(A72/Calculator!$D$35)/Calculator!$D$26,TRUE())),"")</f>
        <v>0.99964788901153445</v>
      </c>
      <c r="D72" s="49">
        <f>IFERROR(_xlfn.SINGLE(_xlfn.NORM.S.DIST(LN(A72/Calculator!$D$36)/Calculator!$D$26,TRUE())),"")</f>
        <v>0.93479570464845629</v>
      </c>
      <c r="E72" s="49">
        <f>IFERROR(_xlfn.SINGLE(_xlfn.NORM.S.DIST(LN(A72/Calculator!$D$37)/Calculator!$D$26,TRUE())),"")</f>
        <v>0.86879018527170582</v>
      </c>
      <c r="F72" s="49">
        <f>IFERROR(_xlfn.SINGLE(_xlfn.NORM.S.DIST(LN(A72/Calculator!$D$38)/Calculator!$D$26,TRUE())),"")</f>
        <v>0.15518958664845683</v>
      </c>
      <c r="G72" s="49">
        <v>0.3</v>
      </c>
    </row>
    <row r="73" spans="1:7" x14ac:dyDescent="0.25">
      <c r="A73" s="48">
        <v>2.14</v>
      </c>
      <c r="B73" s="49">
        <f>IFERROR(_xlfn.SINGLE(_xlfn.NORM.S.DIST(LN(A73/Calculator!$D$34)/Calculator!$D$26,TRUE())),"")</f>
        <v>0.99999999979167087</v>
      </c>
      <c r="C73" s="49">
        <f>IFERROR(_xlfn.SINGLE(_xlfn.NORM.S.DIST(LN(A73/Calculator!$D$35)/Calculator!$D$26,TRUE())),"")</f>
        <v>0.99969058566804336</v>
      </c>
      <c r="D73" s="49">
        <f>IFERROR(_xlfn.SINGLE(_xlfn.NORM.S.DIST(LN(A73/Calculator!$D$36)/Calculator!$D$26,TRUE())),"")</f>
        <v>0.93916324432373854</v>
      </c>
      <c r="E73" s="49">
        <f>IFERROR(_xlfn.SINGLE(_xlfn.NORM.S.DIST(LN(A73/Calculator!$D$37)/Calculator!$D$26,TRUE())),"")</f>
        <v>0.87615639442347748</v>
      </c>
      <c r="F73" s="49">
        <f>IFERROR(_xlfn.SINGLE(_xlfn.NORM.S.DIST(LN(A73/Calculator!$D$38)/Calculator!$D$26,TRUE())),"")</f>
        <v>0.16375737374446392</v>
      </c>
      <c r="G73" s="49">
        <v>0.3</v>
      </c>
    </row>
    <row r="74" spans="1:7" x14ac:dyDescent="0.25">
      <c r="A74" s="48">
        <v>2.17</v>
      </c>
      <c r="B74" s="49">
        <f>IFERROR(_xlfn.SINGLE(_xlfn.NORM.S.DIST(LN(A74/Calculator!$D$34)/Calculator!$D$26,TRUE())),"")</f>
        <v>0.99999999983337073</v>
      </c>
      <c r="C74" s="49">
        <f>IFERROR(_xlfn.SINGLE(_xlfn.NORM.S.DIST(LN(A74/Calculator!$D$35)/Calculator!$D$26,TRUE())),"")</f>
        <v>0.9997279277819715</v>
      </c>
      <c r="D74" s="49">
        <f>IFERROR(_xlfn.SINGLE(_xlfn.NORM.S.DIST(LN(A74/Calculator!$D$36)/Calculator!$D$26,TRUE())),"")</f>
        <v>0.94324260339625465</v>
      </c>
      <c r="E74" s="49">
        <f>IFERROR(_xlfn.SINGLE(_xlfn.NORM.S.DIST(LN(A74/Calculator!$D$37)/Calculator!$D$26,TRUE())),"")</f>
        <v>0.88313169658326807</v>
      </c>
      <c r="F74" s="49">
        <f>IFERROR(_xlfn.SINGLE(_xlfn.NORM.S.DIST(LN(A74/Calculator!$D$38)/Calculator!$D$26,TRUE())),"")</f>
        <v>0.17250085634552662</v>
      </c>
      <c r="G74" s="49">
        <v>0.3</v>
      </c>
    </row>
    <row r="75" spans="1:7" x14ac:dyDescent="0.25">
      <c r="A75" s="48">
        <v>2.2000000000000002</v>
      </c>
      <c r="B75" s="49">
        <f>IFERROR(_xlfn.SINGLE(_xlfn.NORM.S.DIST(LN(A75/Calculator!$D$34)/Calculator!$D$26,TRUE())),"")</f>
        <v>0.99999999986646948</v>
      </c>
      <c r="C75" s="49">
        <f>IFERROR(_xlfn.SINGLE(_xlfn.NORM.S.DIST(LN(A75/Calculator!$D$35)/Calculator!$D$26,TRUE())),"")</f>
        <v>0.9997606080814605</v>
      </c>
      <c r="D75" s="49">
        <f>IFERROR(_xlfn.SINGLE(_xlfn.NORM.S.DIST(LN(A75/Calculator!$D$36)/Calculator!$D$26,TRUE())),"")</f>
        <v>0.94705180847116388</v>
      </c>
      <c r="E75" s="49">
        <f>IFERROR(_xlfn.SINGLE(_xlfn.NORM.S.DIST(LN(A75/Calculator!$D$37)/Calculator!$D$26,TRUE())),"")</f>
        <v>0.88973386963155832</v>
      </c>
      <c r="F75" s="49">
        <f>IFERROR(_xlfn.SINGLE(_xlfn.NORM.S.DIST(LN(A75/Calculator!$D$38)/Calculator!$D$26,TRUE())),"")</f>
        <v>0.18141041072899172</v>
      </c>
      <c r="G75" s="49">
        <v>0.3</v>
      </c>
    </row>
    <row r="76" spans="1:7" x14ac:dyDescent="0.25">
      <c r="A76" s="48">
        <v>2.23</v>
      </c>
      <c r="B76" s="49">
        <f>IFERROR(_xlfn.SINGLE(_xlfn.NORM.S.DIST(LN(A76/Calculator!$D$34)/Calculator!$D$26,TRUE())),"")</f>
        <v>0.9999999998927932</v>
      </c>
      <c r="C76" s="49">
        <f>IFERROR(_xlfn.SINGLE(_xlfn.NORM.S.DIST(LN(A76/Calculator!$D$35)/Calculator!$D$26,TRUE())),"")</f>
        <v>0.99978922709349305</v>
      </c>
      <c r="D76" s="49">
        <f>IFERROR(_xlfn.SINGLE(_xlfn.NORM.S.DIST(LN(A76/Calculator!$D$36)/Calculator!$D$26,TRUE())),"")</f>
        <v>0.95060791096231501</v>
      </c>
      <c r="E76" s="49">
        <f>IFERROR(_xlfn.SINGLE(_xlfn.NORM.S.DIST(LN(A76/Calculator!$D$37)/Calculator!$D$26,TRUE())),"")</f>
        <v>0.89598024499299012</v>
      </c>
      <c r="F76" s="49">
        <f>IFERROR(_xlfn.SINGLE(_xlfn.NORM.S.DIST(LN(A76/Calculator!$D$38)/Calculator!$D$26,TRUE())),"")</f>
        <v>0.19047624772516084</v>
      </c>
      <c r="G76" s="49">
        <v>0.3</v>
      </c>
    </row>
    <row r="77" spans="1:7" x14ac:dyDescent="0.25">
      <c r="A77" s="48">
        <v>2.2599999999999998</v>
      </c>
      <c r="B77" s="49">
        <f>IFERROR(_xlfn.SINGLE(_xlfn.NORM.S.DIST(LN(A77/Calculator!$D$34)/Calculator!$D$26,TRUE())),"")</f>
        <v>0.99999999991376953</v>
      </c>
      <c r="C77" s="49">
        <f>IFERROR(_xlfn.SINGLE(_xlfn.NORM.S.DIST(LN(A77/Calculator!$D$35)/Calculator!$D$26,TRUE())),"")</f>
        <v>0.99981430573158858</v>
      </c>
      <c r="D77" s="49">
        <f>IFERROR(_xlfn.SINGLE(_xlfn.NORM.S.DIST(LN(A77/Calculator!$D$36)/Calculator!$D$26,TRUE())),"")</f>
        <v>0.95392701779760802</v>
      </c>
      <c r="E77" s="49">
        <f>IFERROR(_xlfn.SINGLE(_xlfn.NORM.S.DIST(LN(A77/Calculator!$D$37)/Calculator!$D$26,TRUE())),"")</f>
        <v>0.9018876705876725</v>
      </c>
      <c r="F77" s="49">
        <f>IFERROR(_xlfn.SINGLE(_xlfn.NORM.S.DIST(LN(A77/Calculator!$D$38)/Calculator!$D$26,TRUE())),"")</f>
        <v>0.19968845450230699</v>
      </c>
      <c r="G77" s="49">
        <v>0.3</v>
      </c>
    </row>
    <row r="78" spans="1:7" x14ac:dyDescent="0.25">
      <c r="A78" s="48">
        <v>2.29</v>
      </c>
      <c r="B78" s="49">
        <f>IFERROR(_xlfn.SINGLE(_xlfn.NORM.S.DIST(LN(A78/Calculator!$D$34)/Calculator!$D$26,TRUE())),"")</f>
        <v>0.99999999993051658</v>
      </c>
      <c r="C78" s="49">
        <f>IFERROR(_xlfn.SINGLE(_xlfn.NORM.S.DIST(LN(A78/Calculator!$D$35)/Calculator!$D$26,TRUE())),"")</f>
        <v>0.99983629612672975</v>
      </c>
      <c r="D78" s="49">
        <f>IFERROR(_xlfn.SINGLE(_xlfn.NORM.S.DIST(LN(A78/Calculator!$D$36)/Calculator!$D$26,TRUE())),"")</f>
        <v>0.95702432465170439</v>
      </c>
      <c r="E78" s="49">
        <f>IFERROR(_xlfn.SINGLE(_xlfn.NORM.S.DIST(LN(A78/Calculator!$D$37)/Calculator!$D$26,TRUE())),"")</f>
        <v>0.90747248199692898</v>
      </c>
      <c r="F78" s="49">
        <f>IFERROR(_xlfn.SINGLE(_xlfn.NORM.S.DIST(LN(A78/Calculator!$D$38)/Calculator!$D$26,TRUE())),"")</f>
        <v>0.20903703436610538</v>
      </c>
      <c r="G78" s="49">
        <v>0.3</v>
      </c>
    </row>
    <row r="79" spans="1:7" x14ac:dyDescent="0.25">
      <c r="A79" s="48">
        <v>2.3199999999999998</v>
      </c>
      <c r="B79" s="49">
        <f>IFERROR(_xlfn.SINGLE(_xlfn.NORM.S.DIST(LN(A79/Calculator!$D$34)/Calculator!$D$26,TRUE())),"")</f>
        <v>0.99999999994391209</v>
      </c>
      <c r="C79" s="49">
        <f>IFERROR(_xlfn.SINGLE(_xlfn.NORM.S.DIST(LN(A79/Calculator!$D$35)/Calculator!$D$26,TRUE())),"")</f>
        <v>0.99985559095113996</v>
      </c>
      <c r="D79" s="49">
        <f>IFERROR(_xlfn.SINGLE(_xlfn.NORM.S.DIST(LN(A79/Calculator!$D$36)/Calculator!$D$26,TRUE())),"")</f>
        <v>0.95991415098452237</v>
      </c>
      <c r="E79" s="49">
        <f>IFERROR(_xlfn.SINGLE(_xlfn.NORM.S.DIST(LN(A79/Calculator!$D$37)/Calculator!$D$26,TRUE())),"")</f>
        <v>0.91275048087349697</v>
      </c>
      <c r="F79" s="49">
        <f>IFERROR(_xlfn.SINGLE(_xlfn.NORM.S.DIST(LN(A79/Calculator!$D$38)/Calculator!$D$26,TRUE())),"")</f>
        <v>0.21851194447898303</v>
      </c>
      <c r="G79" s="49">
        <v>0.3</v>
      </c>
    </row>
    <row r="80" spans="1:7" x14ac:dyDescent="0.25">
      <c r="A80" s="48">
        <v>2.35</v>
      </c>
      <c r="B80" s="49">
        <f>IFERROR(_xlfn.SINGLE(_xlfn.NORM.S.DIST(LN(A80/Calculator!$D$34)/Calculator!$D$26,TRUE())),"")</f>
        <v>0.9999999999546465</v>
      </c>
      <c r="C80" s="49">
        <f>IFERROR(_xlfn.SINGLE(_xlfn.NORM.S.DIST(LN(A80/Calculator!$D$35)/Calculator!$D$26,TRUE())),"")</f>
        <v>0.99987253144860866</v>
      </c>
      <c r="D80" s="49">
        <f>IFERROR(_xlfn.SINGLE(_xlfn.NORM.S.DIST(LN(A80/Calculator!$D$36)/Calculator!$D$26,TRUE())),"")</f>
        <v>0.96260997627201694</v>
      </c>
      <c r="E80" s="49">
        <f>IFERROR(_xlfn.SINGLE(_xlfn.NORM.S.DIST(LN(A80/Calculator!$D$37)/Calculator!$D$26,TRUE())),"")</f>
        <v>0.91773691970834614</v>
      </c>
      <c r="F80" s="49">
        <f>IFERROR(_xlfn.SINGLE(_xlfn.NORM.S.DIST(LN(A80/Calculator!$D$38)/Calculator!$D$26,TRUE())),"")</f>
        <v>0.2281031314310952</v>
      </c>
      <c r="G80" s="49">
        <v>0.3</v>
      </c>
    </row>
    <row r="81" spans="1:7" x14ac:dyDescent="0.25">
      <c r="A81" s="48">
        <v>2.38</v>
      </c>
      <c r="B81" s="49">
        <f>IFERROR(_xlfn.SINGLE(_xlfn.NORM.S.DIST(LN(A81/Calculator!$D$34)/Calculator!$D$26,TRUE())),"")</f>
        <v>0.99999999996326394</v>
      </c>
      <c r="C81" s="49">
        <f>IFERROR(_xlfn.SINGLE(_xlfn.NORM.S.DIST(LN(A81/Calculator!$D$35)/Calculator!$D$26,TRUE())),"")</f>
        <v>0.99988741435433082</v>
      </c>
      <c r="D81" s="49">
        <f>IFERROR(_xlfn.SINGLE(_xlfn.NORM.S.DIST(LN(A81/Calculator!$D$36)/Calculator!$D$26,TRUE())),"")</f>
        <v>0.96512447691118974</v>
      </c>
      <c r="E81" s="49">
        <f>IFERROR(_xlfn.SINGLE(_xlfn.NORM.S.DIST(LN(A81/Calculator!$D$37)/Calculator!$D$26,TRUE())),"")</f>
        <v>0.92244649214504848</v>
      </c>
      <c r="F81" s="49">
        <f>IFERROR(_xlfn.SINGLE(_xlfn.NORM.S.DIST(LN(A81/Calculator!$D$38)/Calculator!$D$26,TRUE())),"")</f>
        <v>0.23780056461838947</v>
      </c>
      <c r="G81" s="49">
        <v>0.3</v>
      </c>
    </row>
    <row r="82" spans="1:7" x14ac:dyDescent="0.25">
      <c r="A82" s="48">
        <v>2.41</v>
      </c>
      <c r="B82" s="49">
        <f>IFERROR(_xlfn.SINGLE(_xlfn.NORM.S.DIST(LN(A82/Calculator!$D$34)/Calculator!$D$26,TRUE())),"")</f>
        <v>0.99999999997019418</v>
      </c>
      <c r="C82" s="49">
        <f>IFERROR(_xlfn.SINGLE(_xlfn.NORM.S.DIST(LN(A82/Calculator!$D$35)/Calculator!$D$26,TRUE())),"")</f>
        <v>0.99990049786095181</v>
      </c>
      <c r="D82" s="49">
        <f>IFERROR(_xlfn.SINGLE(_xlfn.NORM.S.DIST(LN(A82/Calculator!$D$36)/Calculator!$D$26,TRUE())),"")</f>
        <v>0.96746956336522216</v>
      </c>
      <c r="E82" s="49">
        <f>IFERROR(_xlfn.SINGLE(_xlfn.NORM.S.DIST(LN(A82/Calculator!$D$37)/Calculator!$D$26,TRUE())),"")</f>
        <v>0.92689332810748193</v>
      </c>
      <c r="F82" s="49">
        <f>IFERROR(_xlfn.SINGLE(_xlfn.NORM.S.DIST(LN(A82/Calculator!$D$38)/Calculator!$D$26,TRUE())),"")</f>
        <v>0.24759426740460039</v>
      </c>
      <c r="G82" s="49">
        <v>0.3</v>
      </c>
    </row>
    <row r="83" spans="1:7" x14ac:dyDescent="0.25">
      <c r="A83" s="48">
        <v>2.44</v>
      </c>
      <c r="B83" s="49">
        <f>IFERROR(_xlfn.SINGLE(_xlfn.NORM.S.DIST(LN(A83/Calculator!$D$34)/Calculator!$D$26,TRUE())),"")</f>
        <v>0.99999999997577727</v>
      </c>
      <c r="C83" s="49">
        <f>IFERROR(_xlfn.SINGLE(_xlfn.NORM.S.DIST(LN(A83/Calculator!$D$35)/Calculator!$D$26,TRUE())),"")</f>
        <v>0.99991200676504932</v>
      </c>
      <c r="D83" s="49">
        <f>IFERROR(_xlfn.SINGLE(_xlfn.NORM.S.DIST(LN(A83/Calculator!$D$36)/Calculator!$D$26,TRUE())),"")</f>
        <v>0.96965641718816042</v>
      </c>
      <c r="E83" s="49">
        <f>IFERROR(_xlfn.SINGLE(_xlfn.NORM.S.DIST(LN(A83/Calculator!$D$37)/Calculator!$D$26,TRUE())),"")</f>
        <v>0.93109099307719057</v>
      </c>
      <c r="F83" s="49">
        <f>IFERROR(_xlfn.SINGLE(_xlfn.NORM.S.DIST(LN(A83/Calculator!$D$38)/Calculator!$D$26,TRUE())),"")</f>
        <v>0.25747434606307584</v>
      </c>
      <c r="G83" s="49">
        <v>0.3</v>
      </c>
    </row>
    <row r="84" spans="1:7" x14ac:dyDescent="0.25">
      <c r="A84" s="48">
        <v>2.4700000000000002</v>
      </c>
      <c r="B84" s="49">
        <f>IFERROR(_xlfn.SINGLE(_xlfn.NORM.S.DIST(LN(A84/Calculator!$D$34)/Calculator!$D$26,TRUE())),"")</f>
        <v>0.99999999998028277</v>
      </c>
      <c r="C84" s="49">
        <f>IFERROR(_xlfn.SINGLE(_xlfn.NORM.S.DIST(LN(A84/Calculator!$D$35)/Calculator!$D$26,TRUE())),"")</f>
        <v>0.99992213690906473</v>
      </c>
      <c r="D84" s="49">
        <f>IFERROR(_xlfn.SINGLE(_xlfn.NORM.S.DIST(LN(A84/Calculator!$D$36)/Calculator!$D$26,TRUE())),"")</f>
        <v>0.97169552763272726</v>
      </c>
      <c r="E84" s="49">
        <f>IFERROR(_xlfn.SINGLE(_xlfn.NORM.S.DIST(LN(A84/Calculator!$D$37)/Calculator!$D$26,TRUE())),"")</f>
        <v>0.93505249092279841</v>
      </c>
      <c r="F84" s="49">
        <f>IFERROR(_xlfn.SINGLE(_xlfn.NORM.S.DIST(LN(A84/Calculator!$D$38)/Calculator!$D$26,TRUE())),"")</f>
        <v>0.26743101651121259</v>
      </c>
      <c r="G84" s="49">
        <v>0.3</v>
      </c>
    </row>
    <row r="85" spans="1:7" x14ac:dyDescent="0.25">
      <c r="A85" s="48">
        <v>2.5</v>
      </c>
      <c r="B85" s="49">
        <f>IFERROR(_xlfn.SINGLE(_xlfn.NORM.S.DIST(LN(A85/Calculator!$D$34)/Calculator!$D$26,TRUE())),"")</f>
        <v>0.99999999998392464</v>
      </c>
      <c r="C85" s="49">
        <f>IFERROR(_xlfn.SINGLE(_xlfn.NORM.S.DIST(LN(A85/Calculator!$D$35)/Calculator!$D$26,TRUE())),"")</f>
        <v>0.9999310590172753</v>
      </c>
      <c r="D85" s="49">
        <f>IFERROR(_xlfn.SINGLE(_xlfn.NORM.S.DIST(LN(A85/Calculator!$D$36)/Calculator!$D$26,TRUE())),"")</f>
        <v>0.97359672760056326</v>
      </c>
      <c r="E85" s="49">
        <f>IFERROR(_xlfn.SINGLE(_xlfn.NORM.S.DIST(LN(A85/Calculator!$D$37)/Calculator!$D$26,TRUE())),"")</f>
        <v>0.93879026974535862</v>
      </c>
      <c r="F85" s="49">
        <f>IFERROR(_xlfn.SINGLE(_xlfn.NORM.S.DIST(LN(A85/Calculator!$D$38)/Calculator!$D$26,TRUE())),"")</f>
        <v>0.27745462886504302</v>
      </c>
      <c r="G85" s="49">
        <v>0.3</v>
      </c>
    </row>
    <row r="86" spans="1:7" x14ac:dyDescent="0.25">
      <c r="A86" s="48">
        <v>2.5299999999999998</v>
      </c>
      <c r="B86" s="49">
        <f>IFERROR(_xlfn.SINGLE(_xlfn.NORM.S.DIST(LN(A86/Calculator!$D$34)/Calculator!$D$26,TRUE())),"")</f>
        <v>0.9999999999868735</v>
      </c>
      <c r="C86" s="49">
        <f>IFERROR(_xlfn.SINGLE(_xlfn.NORM.S.DIST(LN(A86/Calculator!$D$35)/Calculator!$D$26,TRUE())),"")</f>
        <v>0.99993892201034396</v>
      </c>
      <c r="D86" s="49">
        <f>IFERROR(_xlfn.SINGLE(_xlfn.NORM.S.DIST(LN(A86/Calculator!$D$36)/Calculator!$D$26,TRUE())),"")</f>
        <v>0.97536922874240739</v>
      </c>
      <c r="E86" s="49">
        <f>IFERROR(_xlfn.SINGLE(_xlfn.NORM.S.DIST(LN(A86/Calculator!$D$37)/Calculator!$D$26,TRUE())),"")</f>
        <v>0.94231623026046052</v>
      </c>
      <c r="F86" s="49">
        <f>IFERROR(_xlfn.SINGLE(_xlfn.NORM.S.DIST(LN(A86/Calculator!$D$38)/Calculator!$D$26,TRUE())),"")</f>
        <v>0.28753568985433997</v>
      </c>
      <c r="G86" s="49">
        <v>0.3</v>
      </c>
    </row>
    <row r="87" spans="1:7" x14ac:dyDescent="0.25">
      <c r="A87" s="48">
        <v>2.56</v>
      </c>
      <c r="B87" s="49">
        <f>IFERROR(_xlfn.SINGLE(_xlfn.NORM.S.DIST(LN(A87/Calculator!$D$34)/Calculator!$D$26,TRUE())),"")</f>
        <v>0.99999999998926492</v>
      </c>
      <c r="C87" s="49">
        <f>IFERROR(_xlfn.SINGLE(_xlfn.NORM.S.DIST(LN(A87/Calculator!$D$35)/Calculator!$D$26,TRUE())),"")</f>
        <v>0.99994585587096207</v>
      </c>
      <c r="D87" s="49">
        <f>IFERROR(_xlfn.SINGLE(_xlfn.NORM.S.DIST(LN(A87/Calculator!$D$36)/Calculator!$D$26,TRUE())),"")</f>
        <v>0.97702165555724041</v>
      </c>
      <c r="E87" s="49">
        <f>IFERROR(_xlfn.SINGLE(_xlfn.NORM.S.DIST(LN(A87/Calculator!$D$37)/Calculator!$D$26,TRUE())),"")</f>
        <v>0.94564173629037518</v>
      </c>
      <c r="F87" s="49">
        <f>IFERROR(_xlfn.SINGLE(_xlfn.NORM.S.DIST(LN(A87/Calculator!$D$38)/Calculator!$D$26,TRUE())),"")</f>
        <v>0.29766488314956574</v>
      </c>
      <c r="G87" s="49">
        <v>0.3</v>
      </c>
    </row>
    <row r="88" spans="1:7" x14ac:dyDescent="0.25">
      <c r="A88" s="48">
        <v>2.59</v>
      </c>
      <c r="B88" s="49">
        <f>IFERROR(_xlfn.SINGLE(_xlfn.NORM.S.DIST(LN(A88/Calculator!$D$34)/Calculator!$D$26,TRUE())),"")</f>
        <v>0.99999999999120748</v>
      </c>
      <c r="C88" s="49">
        <f>IFERROR(_xlfn.SINGLE(_xlfn.NORM.S.DIST(LN(A88/Calculator!$D$35)/Calculator!$D$26,TRUE())),"")</f>
        <v>0.99995197412281944</v>
      </c>
      <c r="D88" s="49">
        <f>IFERROR(_xlfn.SINGLE(_xlfn.NORM.S.DIST(LN(A88/Calculator!$D$36)/Calculator!$D$26,TRUE())),"")</f>
        <v>0.97856207837500586</v>
      </c>
      <c r="E88" s="49">
        <f>IFERROR(_xlfn.SINGLE(_xlfn.NORM.S.DIST(LN(A88/Calculator!$D$37)/Calculator!$D$26,TRUE())),"")</f>
        <v>0.94877762698764867</v>
      </c>
      <c r="F88" s="49">
        <f>IFERROR(_xlfn.SINGLE(_xlfn.NORM.S.DIST(LN(A88/Calculator!$D$38)/Calculator!$D$26,TRUE())),"")</f>
        <v>0.30783308766126849</v>
      </c>
      <c r="G88" s="49">
        <v>0.3</v>
      </c>
    </row>
    <row r="89" spans="1:7" x14ac:dyDescent="0.25">
      <c r="A89" s="48">
        <v>2.62</v>
      </c>
      <c r="B89" s="49">
        <f>IFERROR(_xlfn.SINGLE(_xlfn.NORM.S.DIST(LN(A89/Calculator!$D$34)/Calculator!$D$26,TRUE())),"")</f>
        <v>0.99999999999278777</v>
      </c>
      <c r="C89" s="49">
        <f>IFERROR(_xlfn.SINGLE(_xlfn.NORM.S.DIST(LN(A89/Calculator!$D$35)/Calculator!$D$26,TRUE())),"")</f>
        <v>0.99995737597632617</v>
      </c>
      <c r="D89" s="49">
        <f>IFERROR(_xlfn.SINGLE(_xlfn.NORM.S.DIST(LN(A89/Calculator!$D$36)/Calculator!$D$26,TRUE())),"")</f>
        <v>0.97999804513787248</v>
      </c>
      <c r="E89" s="49">
        <f>IFERROR(_xlfn.SINGLE(_xlfn.NORM.S.DIST(LN(A89/Calculator!$D$37)/Calculator!$D$26,TRUE())),"")</f>
        <v>0.9517342304555354</v>
      </c>
      <c r="F89" s="49">
        <f>IFERROR(_xlfn.SINGLE(_xlfn.NORM.S.DIST(LN(A89/Calculator!$D$38)/Calculator!$D$26,TRUE())),"")</f>
        <v>0.3180313938802205</v>
      </c>
      <c r="G89" s="49">
        <v>0.3</v>
      </c>
    </row>
    <row r="90" spans="1:7" x14ac:dyDescent="0.25">
      <c r="A90" s="48">
        <v>2.65</v>
      </c>
      <c r="B90" s="49">
        <f>IFERROR(_xlfn.SINGLE(_xlfn.NORM.S.DIST(LN(A90/Calculator!$D$34)/Calculator!$D$26,TRUE())),"")</f>
        <v>0.99999999999407552</v>
      </c>
      <c r="C90" s="49">
        <f>IFERROR(_xlfn.SINGLE(_xlfn.NORM.S.DIST(LN(A90/Calculator!$D$35)/Calculator!$D$26,TRUE())),"")</f>
        <v>0.99996214818698004</v>
      </c>
      <c r="D90" s="49">
        <f>IFERROR(_xlfn.SINGLE(_xlfn.NORM.S.DIST(LN(A90/Calculator!$D$36)/Calculator!$D$26,TRUE())),"")</f>
        <v>0.98133661192074728</v>
      </c>
      <c r="E90" s="49">
        <f>IFERROR(_xlfn.SINGLE(_xlfn.NORM.S.DIST(LN(A90/Calculator!$D$37)/Calculator!$D$26,TRUE())),"")</f>
        <v>0.95452137847068841</v>
      </c>
      <c r="F90" s="49">
        <f>IFERROR(_xlfn.SINGLE(_xlfn.NORM.S.DIST(LN(A90/Calculator!$D$38)/Calculator!$D$26,TRUE())),"")</f>
        <v>0.32825111833284348</v>
      </c>
      <c r="G90" s="49">
        <v>0.3</v>
      </c>
    </row>
    <row r="91" spans="1:7" x14ac:dyDescent="0.25">
      <c r="A91" s="48">
        <v>2.68</v>
      </c>
      <c r="B91" s="49">
        <f>IFERROR(_xlfn.SINGLE(_xlfn.NORM.S.DIST(LN(A91/Calculator!$D$34)/Calculator!$D$26,TRUE())),"")</f>
        <v>0.99999999999512623</v>
      </c>
      <c r="C91" s="49">
        <f>IFERROR(_xlfn.SINGLE(_xlfn.NORM.S.DIST(LN(A91/Calculator!$D$35)/Calculator!$D$26,TRUE())),"")</f>
        <v>0.99996636666581318</v>
      </c>
      <c r="D91" s="49">
        <f>IFERROR(_xlfn.SINGLE(_xlfn.NORM.S.DIST(LN(A91/Calculator!$D$36)/Calculator!$D$26,TRUE())),"")</f>
        <v>0.98258437215345762</v>
      </c>
      <c r="E91" s="49">
        <f>IFERROR(_xlfn.SINGLE(_xlfn.NORM.S.DIST(LN(A91/Calculator!$D$37)/Calculator!$D$26,TRUE())),"")</f>
        <v>0.95714842204984363</v>
      </c>
      <c r="F91" s="49">
        <f>IFERROR(_xlfn.SINGLE(_xlfn.NORM.S.DIST(LN(A91/Calculator!$D$38)/Calculator!$D$26,TRUE())),"")</f>
        <v>0.33848381623140722</v>
      </c>
      <c r="G91" s="49">
        <v>0.3</v>
      </c>
    </row>
    <row r="92" spans="1:7" x14ac:dyDescent="0.25">
      <c r="A92" s="48">
        <v>2.71</v>
      </c>
      <c r="B92" s="49">
        <f>IFERROR(_xlfn.SINGLE(_xlfn.NORM.S.DIST(LN(A92/Calculator!$D$34)/Calculator!$D$26,TRUE())),"")</f>
        <v>0.99999999999598499</v>
      </c>
      <c r="C92" s="49">
        <f>IFERROR(_xlfn.SINGLE(_xlfn.NORM.S.DIST(LN(A92/Calculator!$D$35)/Calculator!$D$26,TRUE())),"")</f>
        <v>0.99997009787582236</v>
      </c>
      <c r="D92" s="49">
        <f>IFERROR(_xlfn.SINGLE(_xlfn.NORM.S.DIST(LN(A92/Calculator!$D$36)/Calculator!$D$26,TRUE())),"")</f>
        <v>0.98374748452519278</v>
      </c>
      <c r="E92" s="49">
        <f>IFERROR(_xlfn.SINGLE(_xlfn.NORM.S.DIST(LN(A92/Calculator!$D$37)/Calculator!$D$26,TRUE())),"")</f>
        <v>0.95962424763506038</v>
      </c>
      <c r="F92" s="49">
        <f>IFERROR(_xlfn.SINGLE(_xlfn.NORM.S.DIST(LN(A92/Calculator!$D$38)/Calculator!$D$26,TRUE())),"")</f>
        <v>0.34872129240223948</v>
      </c>
      <c r="G92" s="49">
        <v>0.3</v>
      </c>
    </row>
    <row r="93" spans="1:7" x14ac:dyDescent="0.25">
      <c r="A93" s="48">
        <v>2.74</v>
      </c>
      <c r="B93" s="49">
        <f>IFERROR(_xlfn.SINGLE(_xlfn.NORM.S.DIST(LN(A93/Calculator!$D$34)/Calculator!$D$26,TRUE())),"")</f>
        <v>0.99999999999668787</v>
      </c>
      <c r="C93" s="49">
        <f>IFERROR(_xlfn.SINGLE(_xlfn.NORM.S.DIST(LN(A93/Calculator!$D$35)/Calculator!$D$26,TRUE())),"")</f>
        <v>0.9999734000435484</v>
      </c>
      <c r="D93" s="49">
        <f>IFERROR(_xlfn.SINGLE(_xlfn.NORM.S.DIST(LN(A93/Calculator!$D$36)/Calculator!$D$26,TRUE())),"")</f>
        <v>0.98483169956689953</v>
      </c>
      <c r="E93" s="49">
        <f>IFERROR(_xlfn.SINGLE(_xlfn.NORM.S.DIST(LN(A93/Calculator!$D$37)/Calculator!$D$26,TRUE())),"")</f>
        <v>0.96195729370166805</v>
      </c>
      <c r="F93" s="49">
        <f>IFERROR(_xlfn.SINGLE(_xlfn.NORM.S.DIST(LN(A93/Calculator!$D$38)/Calculator!$D$26,TRUE())),"")</f>
        <v>0.3589556105778593</v>
      </c>
      <c r="G93" s="49">
        <v>0.3</v>
      </c>
    </row>
    <row r="94" spans="1:7" x14ac:dyDescent="0.25">
      <c r="A94" s="48">
        <v>2.77</v>
      </c>
      <c r="B94" s="49">
        <f>IFERROR(_xlfn.SINGLE(_xlfn.NORM.S.DIST(LN(A94/Calculator!$D$34)/Calculator!$D$26,TRUE())),"")</f>
        <v>0.99999999999726397</v>
      </c>
      <c r="C94" s="49">
        <f>IFERROR(_xlfn.SINGLE(_xlfn.NORM.S.DIST(LN(A94/Calculator!$D$35)/Calculator!$D$26,TRUE())),"")</f>
        <v>0.9999763242109011</v>
      </c>
      <c r="D94" s="49">
        <f>IFERROR(_xlfn.SINGLE(_xlfn.NORM.S.DIST(LN(A94/Calculator!$D$36)/Calculator!$D$26,TRUE())),"")</f>
        <v>0.98584238491975862</v>
      </c>
      <c r="E94" s="49">
        <f>IFERROR(_xlfn.SINGLE(_xlfn.NORM.S.DIST(LN(A94/Calculator!$D$37)/Calculator!$D$26,TRUE())),"")</f>
        <v>0.96415556761964316</v>
      </c>
      <c r="F94" s="49">
        <f>IFERROR(_xlfn.SINGLE(_xlfn.NORM.S.DIST(LN(A94/Calculator!$D$38)/Calculator!$D$26,TRUE())),"")</f>
        <v>0.36917910114067776</v>
      </c>
      <c r="G94" s="49">
        <v>0.3</v>
      </c>
    </row>
    <row r="95" spans="1:7" x14ac:dyDescent="0.25">
      <c r="A95" s="48">
        <v>2.8</v>
      </c>
      <c r="B95" s="49">
        <f>IFERROR(_xlfn.SINGLE(_xlfn.NORM.S.DIST(LN(A95/Calculator!$D$34)/Calculator!$D$26,TRUE())),"")</f>
        <v>0.99999999999773681</v>
      </c>
      <c r="C95" s="49">
        <f>IFERROR(_xlfn.SINGLE(_xlfn.NORM.S.DIST(LN(A95/Calculator!$D$35)/Calculator!$D$26,TRUE())),"")</f>
        <v>0.99997891514884463</v>
      </c>
      <c r="D95" s="49">
        <f>IFERROR(_xlfn.SINGLE(_xlfn.NORM.S.DIST(LN(A95/Calculator!$D$36)/Calculator!$D$26,TRUE())),"")</f>
        <v>0.98678454930799342</v>
      </c>
      <c r="E95" s="49">
        <f>IFERROR(_xlfn.SINGLE(_xlfn.NORM.S.DIST(LN(A95/Calculator!$D$37)/Calculator!$D$26,TRUE())),"")</f>
        <v>0.96622666262294976</v>
      </c>
      <c r="F95" s="49">
        <f>IFERROR(_xlfn.SINGLE(_xlfn.NORM.S.DIST(LN(A95/Calculator!$D$38)/Calculator!$D$26,TRUE())),"")</f>
        <v>0.37938436740678017</v>
      </c>
      <c r="G95" s="49">
        <v>0.3</v>
      </c>
    </row>
    <row r="96" spans="1:7" x14ac:dyDescent="0.25">
      <c r="A96" s="48">
        <v>2.83</v>
      </c>
      <c r="B96" s="49">
        <f>IFERROR(_xlfn.SINGLE(_xlfn.NORM.S.DIST(LN(A96/Calculator!$D$34)/Calculator!$D$26,TRUE())),"")</f>
        <v>0.9999999999981255</v>
      </c>
      <c r="C96" s="49">
        <f>IFERROR(_xlfn.SINGLE(_xlfn.NORM.S.DIST(LN(A96/Calculator!$D$35)/Calculator!$D$26,TRUE())),"")</f>
        <v>0.99998121215155966</v>
      </c>
      <c r="D96" s="49">
        <f>IFERROR(_xlfn.SINGLE(_xlfn.NORM.S.DIST(LN(A96/Calculator!$D$36)/Calculator!$D$26,TRUE())),"")</f>
        <v>0.9876628652423991</v>
      </c>
      <c r="E96" s="49">
        <f>IFERROR(_xlfn.SINGLE(_xlfn.NORM.S.DIST(LN(A96/Calculator!$D$37)/Calculator!$D$26,TRUE())),"")</f>
        <v>0.96817777476262712</v>
      </c>
      <c r="F96" s="49">
        <f>IFERROR(_xlfn.SINGLE(_xlfn.NORM.S.DIST(LN(A96/Calculator!$D$38)/Calculator!$D$26,TRUE())),"")</f>
        <v>0.38956429053843433</v>
      </c>
      <c r="G96" s="49">
        <v>0.3</v>
      </c>
    </row>
    <row r="97" spans="1:7" x14ac:dyDescent="0.25">
      <c r="A97" s="48">
        <v>2.86</v>
      </c>
      <c r="B97" s="49">
        <f>IFERROR(_xlfn.SINGLE(_xlfn.NORM.S.DIST(LN(A97/Calculator!$D$34)/Calculator!$D$26,TRUE())),"")</f>
        <v>0.99999999999844535</v>
      </c>
      <c r="C97" s="49">
        <f>IFERROR(_xlfn.SINGLE(_xlfn.NORM.S.DIST(LN(A97/Calculator!$D$35)/Calculator!$D$26,TRUE())),"")</f>
        <v>0.99998324972713448</v>
      </c>
      <c r="D97" s="49">
        <f>IFERROR(_xlfn.SINGLE(_xlfn.NORM.S.DIST(LN(A97/Calculator!$D$36)/Calculator!$D$26,TRUE())),"")</f>
        <v>0.98848169048741052</v>
      </c>
      <c r="E97" s="49">
        <f>IFERROR(_xlfn.SINGLE(_xlfn.NORM.S.DIST(LN(A97/Calculator!$D$37)/Calculator!$D$26,TRUE())),"")</f>
        <v>0.97001571973833622</v>
      </c>
      <c r="F97" s="49">
        <f>IFERROR(_xlfn.SINGLE(_xlfn.NORM.S.DIST(LN(A97/Calculator!$D$38)/Calculator!$D$26,TRUE())),"")</f>
        <v>0.39971203317344406</v>
      </c>
      <c r="G97" s="49">
        <v>0.3</v>
      </c>
    </row>
    <row r="98" spans="1:7" x14ac:dyDescent="0.25">
      <c r="A98" s="48">
        <v>2.89</v>
      </c>
      <c r="B98" s="49">
        <f>IFERROR(_xlfn.SINGLE(_xlfn.NORM.S.DIST(LN(A98/Calculator!$D$34)/Calculator!$D$26,TRUE())),"")</f>
        <v>0.99999999999870903</v>
      </c>
      <c r="C98" s="49">
        <f>IFERROR(_xlfn.SINGLE(_xlfn.NORM.S.DIST(LN(A98/Calculator!$D$35)/Calculator!$D$26,TRUE())),"")</f>
        <v>0.99998505819862549</v>
      </c>
      <c r="D98" s="49">
        <f>IFERROR(_xlfn.SINGLE(_xlfn.NORM.S.DIST(LN(A98/Calculator!$D$36)/Calculator!$D$26,TRUE())),"")</f>
        <v>0.98924508832949498</v>
      </c>
      <c r="E98" s="49">
        <f>IFERROR(_xlfn.SINGLE(_xlfn.NORM.S.DIST(LN(A98/Calculator!$D$37)/Calculator!$D$26,TRUE())),"")</f>
        <v>0.97174694951987173</v>
      </c>
      <c r="F98" s="49">
        <f>IFERROR(_xlfn.SINGLE(_xlfn.NORM.S.DIST(LN(A98/Calculator!$D$38)/Calculator!$D$26,TRUE())),"")</f>
        <v>0.40982104185837664</v>
      </c>
      <c r="G98" s="49">
        <v>0.3</v>
      </c>
    </row>
    <row r="99" spans="1:7" x14ac:dyDescent="0.25">
      <c r="A99" s="48">
        <v>2.92</v>
      </c>
      <c r="B99" s="49">
        <f>IFERROR(_xlfn.SINGLE(_xlfn.NORM.S.DIST(LN(A99/Calculator!$D$34)/Calculator!$D$26,TRUE())),"")</f>
        <v>0.99999999999892664</v>
      </c>
      <c r="C99" s="49">
        <f>IFERROR(_xlfn.SINGLE(_xlfn.NORM.S.DIST(LN(A99/Calculator!$D$35)/Calculator!$D$26,TRUE())),"")</f>
        <v>0.99998666422743188</v>
      </c>
      <c r="D99" s="49">
        <f>IFERROR(_xlfn.SINGLE(_xlfn.NORM.S.DIST(LN(A99/Calculator!$D$36)/Calculator!$D$26,TRUE())),"")</f>
        <v>0.98995684668838924</v>
      </c>
      <c r="E99" s="49">
        <f>IFERROR(_xlfn.SINGLE(_xlfn.NORM.S.DIST(LN(A99/Calculator!$D$37)/Calculator!$D$26,TRUE())),"")</f>
        <v>0.97337756868500813</v>
      </c>
      <c r="F99" s="49">
        <f>IFERROR(_xlfn.SINGLE(_xlfn.NORM.S.DIST(LN(A99/Calculator!$D$38)/Calculator!$D$26,TRUE())),"")</f>
        <v>0.41988504837111384</v>
      </c>
      <c r="G99" s="49">
        <v>0.3</v>
      </c>
    </row>
    <row r="100" spans="1:7" x14ac:dyDescent="0.25">
      <c r="A100" s="48">
        <v>2.95</v>
      </c>
      <c r="B100" s="49">
        <f>IFERROR(_xlfn.SINGLE(_xlfn.NORM.S.DIST(LN(A100/Calculator!$D$34)/Calculator!$D$26,TRUE())),"")</f>
        <v>0.99999999999910638</v>
      </c>
      <c r="C100" s="49">
        <f>IFERROR(_xlfn.SINGLE(_xlfn.NORM.S.DIST(LN(A100/Calculator!$D$35)/Calculator!$D$26,TRUE())),"")</f>
        <v>0.99998809126930055</v>
      </c>
      <c r="D100" s="49">
        <f>IFERROR(_xlfn.SINGLE(_xlfn.NORM.S.DIST(LN(A100/Calculator!$D$36)/Calculator!$D$26,TRUE())),"")</f>
        <v>0.99062049611537339</v>
      </c>
      <c r="E100" s="49">
        <f>IFERROR(_xlfn.SINGLE(_xlfn.NORM.S.DIST(LN(A100/Calculator!$D$37)/Calculator!$D$26,TRUE())),"")</f>
        <v>0.97491335041316052</v>
      </c>
      <c r="F100" s="49">
        <f>IFERROR(_xlfn.SINGLE(_xlfn.NORM.S.DIST(LN(A100/Calculator!$D$38)/Calculator!$D$26,TRUE())),"")</f>
        <v>0.42989807001619268</v>
      </c>
      <c r="G100" s="49">
        <v>0.3</v>
      </c>
    </row>
    <row r="101" spans="1:7" x14ac:dyDescent="0.25">
      <c r="A101" s="48">
        <v>2.98</v>
      </c>
      <c r="B101" s="49">
        <f>IFERROR(_xlfn.SINGLE(_xlfn.NORM.S.DIST(LN(A101/Calculator!$D$34)/Calculator!$D$26,TRUE())),"")</f>
        <v>0.99999999999925515</v>
      </c>
      <c r="C101" s="49">
        <f>IFERROR(_xlfn.SINGLE(_xlfn.NORM.S.DIST(LN(A101/Calculator!$D$35)/Calculator!$D$26,TRUE())),"")</f>
        <v>0.99998935997186722</v>
      </c>
      <c r="D101" s="49">
        <f>IFERROR(_xlfn.SINGLE(_xlfn.NORM.S.DIST(LN(A101/Calculator!$D$36)/Calculator!$D$26,TRUE())),"")</f>
        <v>0.99123932672456971</v>
      </c>
      <c r="E101" s="49">
        <f>IFERROR(_xlfn.SINGLE(_xlfn.NORM.S.DIST(LN(A101/Calculator!$D$37)/Calculator!$D$26,TRUE())),"")</f>
        <v>0.9763597520858659</v>
      </c>
      <c r="F101" s="49">
        <f>IFERROR(_xlfn.SINGLE(_xlfn.NORM.S.DIST(LN(A101/Calculator!$D$38)/Calculator!$D$26,TRUE())),"")</f>
        <v>0.43985440897406469</v>
      </c>
      <c r="G101" s="49">
        <v>0.3</v>
      </c>
    </row>
    <row r="102" spans="1:7" x14ac:dyDescent="0.25">
      <c r="A102" s="48">
        <v>3.01</v>
      </c>
      <c r="B102" s="49">
        <f>IFERROR(_xlfn.SINGLE(_xlfn.NORM.S.DIST(LN(A102/Calculator!$D$34)/Calculator!$D$26,TRUE())),"")</f>
        <v>0.99999999999937839</v>
      </c>
      <c r="C102" s="49">
        <f>IFERROR(_xlfn.SINGLE(_xlfn.NORM.S.DIST(LN(A102/Calculator!$D$35)/Calculator!$D$26,TRUE())),"")</f>
        <v>0.99999048852143912</v>
      </c>
      <c r="D102" s="49">
        <f>IFERROR(_xlfn.SINGLE(_xlfn.NORM.S.DIST(LN(A102/Calculator!$D$36)/Calculator!$D$26,TRUE())),"")</f>
        <v>0.99181640410430594</v>
      </c>
      <c r="E102" s="49">
        <f>IFERROR(_xlfn.SINGLE(_xlfn.NORM.S.DIST(LN(A102/Calculator!$D$37)/Calculator!$D$26,TRUE())),"")</f>
        <v>0.97772193045518985</v>
      </c>
      <c r="F102" s="49">
        <f>IFERROR(_xlfn.SINGLE(_xlfn.NORM.S.DIST(LN(A102/Calculator!$D$38)/Calculator!$D$26,TRUE())),"")</f>
        <v>0.44974865078279769</v>
      </c>
      <c r="G102" s="49">
        <v>0.3</v>
      </c>
    </row>
    <row r="103" spans="1:7" x14ac:dyDescent="0.25">
      <c r="A103" s="48">
        <v>3.04</v>
      </c>
      <c r="B103" s="49">
        <f>IFERROR(_xlfn.SINGLE(_xlfn.NORM.S.DIST(LN(A103/Calculator!$D$34)/Calculator!$D$26,TRUE())),"")</f>
        <v>0.99999999999948064</v>
      </c>
      <c r="C103" s="49">
        <f>IFERROR(_xlfn.SINGLE(_xlfn.NORM.S.DIST(LN(A103/Calculator!$D$35)/Calculator!$D$26,TRUE())),"")</f>
        <v>0.99999149294567802</v>
      </c>
      <c r="D103" s="49">
        <f>IFERROR(_xlfn.SINGLE(_xlfn.NORM.S.DIST(LN(A103/Calculator!$D$36)/Calculator!$D$26,TRUE())),"")</f>
        <v>0.99235458425601741</v>
      </c>
      <c r="E103" s="49">
        <f>IFERROR(_xlfn.SINGLE(_xlfn.NORM.S.DIST(LN(A103/Calculator!$D$37)/Calculator!$D$26,TRUE())),"")</f>
        <v>0.97900475634997564</v>
      </c>
      <c r="F103" s="49">
        <f>IFERROR(_xlfn.SINGLE(_xlfn.NORM.S.DIST(LN(A103/Calculator!$D$38)/Calculator!$D$26,TRUE())),"")</f>
        <v>0.45957566202789396</v>
      </c>
      <c r="G103" s="49">
        <v>0.3</v>
      </c>
    </row>
    <row r="104" spans="1:7" x14ac:dyDescent="0.25">
      <c r="A104" s="48">
        <v>3.07</v>
      </c>
      <c r="B104" s="49">
        <f>IFERROR(_xlfn.SINGLE(_xlfn.NORM.S.DIST(LN(A104/Calculator!$D$34)/Calculator!$D$26,TRUE())),"")</f>
        <v>0.99999999999956557</v>
      </c>
      <c r="C104" s="49">
        <f>IFERROR(_xlfn.SINGLE(_xlfn.NORM.S.DIST(LN(A104/Calculator!$D$35)/Calculator!$D$26,TRUE())),"")</f>
        <v>0.99999238737794949</v>
      </c>
      <c r="D104" s="49">
        <f>IFERROR(_xlfn.SINGLE(_xlfn.NORM.S.DIST(LN(A104/Calculator!$D$36)/Calculator!$D$26,TRUE())),"")</f>
        <v>0.99285652760809207</v>
      </c>
      <c r="E104" s="49">
        <f>IFERROR(_xlfn.SINGLE(_xlfn.NORM.S.DIST(LN(A104/Calculator!$D$37)/Calculator!$D$26,TRUE())),"")</f>
        <v>0.98021282889752204</v>
      </c>
      <c r="F104" s="49">
        <f>IFERROR(_xlfn.SINGLE(_xlfn.NORM.S.DIST(LN(A104/Calculator!$D$38)/Calculator!$D$26,TRUE())),"")</f>
        <v>0.46933058731289101</v>
      </c>
      <c r="G104" s="49">
        <v>0.3</v>
      </c>
    </row>
    <row r="105" spans="1:7" x14ac:dyDescent="0.25">
      <c r="A105" s="48">
        <v>3.1</v>
      </c>
      <c r="B105" s="49">
        <f>IFERROR(_xlfn.SINGLE(_xlfn.NORM.S.DIST(LN(A105/Calculator!$D$34)/Calculator!$D$26,TRUE())),"")</f>
        <v>0.99999999999963618</v>
      </c>
      <c r="C105" s="49">
        <f>IFERROR(_xlfn.SINGLE(_xlfn.NORM.S.DIST(LN(A105/Calculator!$D$35)/Calculator!$D$26,TRUE())),"")</f>
        <v>0.99999318428832795</v>
      </c>
      <c r="D105" s="49">
        <f>IFERROR(_xlfn.SINGLE(_xlfn.NORM.S.DIST(LN(A105/Calculator!$D$36)/Calculator!$D$26,TRUE())),"")</f>
        <v>0.99332471215158036</v>
      </c>
      <c r="E105" s="49">
        <f>IFERROR(_xlfn.SINGLE(_xlfn.NORM.S.DIST(LN(A105/Calculator!$D$37)/Calculator!$D$26,TRUE())),"")</f>
        <v>0.98135048924490687</v>
      </c>
      <c r="F105" s="49">
        <f>IFERROR(_xlfn.SINGLE(_xlfn.NORM.S.DIST(LN(A105/Calculator!$D$38)/Calculator!$D$26,TRUE())),"")</f>
        <v>0.47900884558025814</v>
      </c>
      <c r="G105" s="49">
        <v>0.3</v>
      </c>
    </row>
    <row r="106" spans="1:7" x14ac:dyDescent="0.25">
      <c r="A106" s="48">
        <v>3.13</v>
      </c>
      <c r="B106" s="49">
        <f>IFERROR(_xlfn.SINGLE(_xlfn.NORM.S.DIST(LN(A106/Calculator!$D$34)/Calculator!$D$26,TRUE())),"")</f>
        <v>0.99999999999969502</v>
      </c>
      <c r="C106" s="49">
        <f>IFERROR(_xlfn.SINGLE(_xlfn.NORM.S.DIST(LN(A106/Calculator!$D$35)/Calculator!$D$26,TRUE())),"")</f>
        <v>0.99999389468558486</v>
      </c>
      <c r="D106" s="49">
        <f>IFERROR(_xlfn.SINGLE(_xlfn.NORM.S.DIST(LN(A106/Calculator!$D$36)/Calculator!$D$26,TRUE())),"")</f>
        <v>0.99376144574386749</v>
      </c>
      <c r="E106" s="49">
        <f>IFERROR(_xlfn.SINGLE(_xlfn.NORM.S.DIST(LN(A106/Calculator!$D$37)/Calculator!$D$26,TRUE())),"")</f>
        <v>0.98242183376989078</v>
      </c>
      <c r="F106" s="49">
        <f>IFERROR(_xlfn.SINGLE(_xlfn.NORM.S.DIST(LN(A106/Calculator!$D$38)/Calculator!$D$26,TRUE())),"")</f>
        <v>0.48860612584886054</v>
      </c>
      <c r="G106" s="49">
        <v>0.3</v>
      </c>
    </row>
    <row r="107" spans="1:7" x14ac:dyDescent="0.25">
      <c r="A107" s="48">
        <v>3.16</v>
      </c>
      <c r="B107" s="49">
        <f>IFERROR(_xlfn.SINGLE(_xlfn.NORM.S.DIST(LN(A107/Calculator!$D$34)/Calculator!$D$26,TRUE())),"")</f>
        <v>0.99999999999974398</v>
      </c>
      <c r="C107" s="49">
        <f>IFERROR(_xlfn.SINGLE(_xlfn.NORM.S.DIST(LN(A107/Calculator!$D$35)/Calculator!$D$26,TRUE())),"")</f>
        <v>0.99999452829390478</v>
      </c>
      <c r="D107" s="49">
        <f>IFERROR(_xlfn.SINGLE(_xlfn.NORM.S.DIST(LN(A107/Calculator!$D$36)/Calculator!$D$26,TRUE())),"")</f>
        <v>0.99416887762532979</v>
      </c>
      <c r="E107" s="49">
        <f>IFERROR(_xlfn.SINGLE(_xlfn.NORM.S.DIST(LN(A107/Calculator!$D$37)/Calculator!$D$26,TRUE())),"")</f>
        <v>0.983430726776238</v>
      </c>
      <c r="F107" s="49">
        <f>IFERROR(_xlfn.SINGLE(_xlfn.NORM.S.DIST(LN(A107/Calculator!$D$38)/Calculator!$D$26,TRUE())),"")</f>
        <v>0.49811838243097162</v>
      </c>
      <c r="G107" s="49">
        <v>0.3</v>
      </c>
    </row>
    <row r="108" spans="1:7" x14ac:dyDescent="0.25">
      <c r="A108" s="48">
        <v>3.19</v>
      </c>
      <c r="B108" s="49">
        <f>IFERROR(_xlfn.SINGLE(_xlfn.NORM.S.DIST(LN(A108/Calculator!$D$34)/Calculator!$D$26,TRUE())),"")</f>
        <v>0.99999999999978484</v>
      </c>
      <c r="C108" s="49">
        <f>IFERROR(_xlfn.SINGLE(_xlfn.NORM.S.DIST(LN(A108/Calculator!$D$35)/Calculator!$D$26,TRUE())),"")</f>
        <v>0.99999509370758477</v>
      </c>
      <c r="D108" s="49">
        <f>IFERROR(_xlfn.SINGLE(_xlfn.NORM.S.DIST(LN(A108/Calculator!$D$36)/Calculator!$D$26,TRUE())),"")</f>
        <v>0.99454900919270084</v>
      </c>
      <c r="E108" s="49">
        <f>IFERROR(_xlfn.SINGLE(_xlfn.NORM.S.DIST(LN(A108/Calculator!$D$37)/Calculator!$D$26,TRUE())),"")</f>
        <v>0.98438081267246236</v>
      </c>
      <c r="F108" s="49">
        <f>IFERROR(_xlfn.SINGLE(_xlfn.NORM.S.DIST(LN(A108/Calculator!$D$38)/Calculator!$D$26,TRUE())),"")</f>
        <v>0.50754182968848038</v>
      </c>
      <c r="G108" s="49">
        <v>0.3</v>
      </c>
    </row>
    <row r="109" spans="1:7" x14ac:dyDescent="0.25">
      <c r="A109" s="48">
        <v>3.22</v>
      </c>
      <c r="B109" s="49">
        <f>IFERROR(_xlfn.SINGLE(_xlfn.NORM.S.DIST(LN(A109/Calculator!$D$34)/Calculator!$D$26,TRUE())),"")</f>
        <v>0.99999999999981903</v>
      </c>
      <c r="C109" s="49">
        <f>IFERROR(_xlfn.SINGLE(_xlfn.NORM.S.DIST(LN(A109/Calculator!$D$35)/Calculator!$D$26,TRUE())),"")</f>
        <v>0.99999559852653652</v>
      </c>
      <c r="D109" s="49">
        <f>IFERROR(_xlfn.SINGLE(_xlfn.NORM.S.DIST(LN(A109/Calculator!$D$36)/Calculator!$D$26,TRUE())),"")</f>
        <v>0.99490370407143081</v>
      </c>
      <c r="E109" s="49">
        <f>IFERROR(_xlfn.SINGLE(_xlfn.NORM.S.DIST(LN(A109/Calculator!$D$37)/Calculator!$D$26,TRUE())),"")</f>
        <v>0.98527552763653881</v>
      </c>
      <c r="F109" s="49">
        <f>IFERROR(_xlfn.SINGLE(_xlfn.NORM.S.DIST(LN(A109/Calculator!$D$38)/Calculator!$D$26,TRUE())),"")</f>
        <v>0.51687293638463006</v>
      </c>
      <c r="G109" s="49">
        <v>0.3</v>
      </c>
    </row>
    <row r="110" spans="1:7" x14ac:dyDescent="0.25">
      <c r="A110" s="48">
        <v>3.25</v>
      </c>
      <c r="B110" s="49">
        <f>IFERROR(_xlfn.SINGLE(_xlfn.NORM.S.DIST(LN(A110/Calculator!$D$34)/Calculator!$D$26,TRUE())),"")</f>
        <v>0.99999999999984768</v>
      </c>
      <c r="C110" s="49">
        <f>IFERROR(_xlfn.SINGLE(_xlfn.NORM.S.DIST(LN(A110/Calculator!$D$35)/Calculator!$D$26,TRUE())),"")</f>
        <v>0.9999960494750425</v>
      </c>
      <c r="D110" s="49">
        <f>IFERROR(_xlfn.SINGLE(_xlfn.NORM.S.DIST(LN(A110/Calculator!$D$36)/Calculator!$D$26,TRUE())),"")</f>
        <v>0.99523469752776073</v>
      </c>
      <c r="E110" s="49">
        <f>IFERROR(_xlfn.SINGLE(_xlfn.NORM.S.DIST(LN(A110/Calculator!$D$37)/Calculator!$D$26,TRUE())),"")</f>
        <v>0.986118110772088</v>
      </c>
      <c r="F110" s="49">
        <f>IFERROR(_xlfn.SINGLE(_xlfn.NORM.S.DIST(LN(A110/Calculator!$D$38)/Calculator!$D$26,TRUE())),"")</f>
        <v>0.52610841968431399</v>
      </c>
      <c r="G110" s="49">
        <v>0.3</v>
      </c>
    </row>
    <row r="111" spans="1:7" x14ac:dyDescent="0.25">
      <c r="A111" s="48">
        <v>3.28</v>
      </c>
      <c r="B111" s="49">
        <f>IFERROR(_xlfn.SINGLE(_xlfn.NORM.S.DIST(LN(A111/Calculator!$D$34)/Calculator!$D$26,TRUE())),"")</f>
        <v>0.99999999999987155</v>
      </c>
      <c r="C111" s="49">
        <f>IFERROR(_xlfn.SINGLE(_xlfn.NORM.S.DIST(LN(A111/Calculator!$D$35)/Calculator!$D$26,TRUE())),"")</f>
        <v>0.99999645250589653</v>
      </c>
      <c r="D111" s="49">
        <f>IFERROR(_xlfn.SINGLE(_xlfn.NORM.S.DIST(LN(A111/Calculator!$D$36)/Calculator!$D$26,TRUE())),"")</f>
        <v>0.99554360525959218</v>
      </c>
      <c r="E111" s="49">
        <f>IFERROR(_xlfn.SINGLE(_xlfn.NORM.S.DIST(LN(A111/Calculator!$D$37)/Calculator!$D$26,TRUE())),"")</f>
        <v>0.98691161476400213</v>
      </c>
      <c r="F111" s="49">
        <f>IFERROR(_xlfn.SINGLE(_xlfn.NORM.S.DIST(LN(A111/Calculator!$D$38)/Calculator!$D$26,TRUE())),"")</f>
        <v>0.53524523885271158</v>
      </c>
      <c r="G111" s="49">
        <v>0.3</v>
      </c>
    </row>
    <row r="112" spans="1:7" x14ac:dyDescent="0.25">
      <c r="A112" s="48">
        <v>3.31</v>
      </c>
      <c r="B112" s="49">
        <f>IFERROR(_xlfn.SINGLE(_xlfn.NORM.S.DIST(LN(A112/Calculator!$D$34)/Calculator!$D$26,TRUE())),"")</f>
        <v>0.99999999999989164</v>
      </c>
      <c r="C112" s="49">
        <f>IFERROR(_xlfn.SINGLE(_xlfn.NORM.S.DIST(LN(A112/Calculator!$D$35)/Calculator!$D$26,TRUE())),"")</f>
        <v>0.99999681289177778</v>
      </c>
      <c r="D112" s="49">
        <f>IFERROR(_xlfn.SINGLE(_xlfn.NORM.S.DIST(LN(A112/Calculator!$D$36)/Calculator!$D$26,TRUE())),"")</f>
        <v>0.99583193160354666</v>
      </c>
      <c r="E112" s="49">
        <f>IFERROR(_xlfn.SINGLE(_xlfn.NORM.S.DIST(LN(A112/Calculator!$D$37)/Calculator!$D$26,TRUE())),"")</f>
        <v>0.9876589160435113</v>
      </c>
      <c r="F112" s="49">
        <f>IFERROR(_xlfn.SINGLE(_xlfn.NORM.S.DIST(LN(A112/Calculator!$D$38)/Calculator!$D$26,TRUE())),"")</f>
        <v>0.54428058869884244</v>
      </c>
      <c r="G112" s="49">
        <v>0.3</v>
      </c>
    </row>
    <row r="113" spans="1:7" x14ac:dyDescent="0.25">
      <c r="A113" s="48">
        <v>3.34</v>
      </c>
      <c r="B113" s="49">
        <f>IFERROR(_xlfn.SINGLE(_xlfn.NORM.S.DIST(LN(A113/Calculator!$D$34)/Calculator!$D$26,TRUE())),"")</f>
        <v>0.99999999999990841</v>
      </c>
      <c r="C113" s="49">
        <f>IFERROR(_xlfn.SINGLE(_xlfn.NORM.S.DIST(LN(A113/Calculator!$D$35)/Calculator!$D$26,TRUE())),"")</f>
        <v>0.99999713530546996</v>
      </c>
      <c r="D113" s="49">
        <f>IFERROR(_xlfn.SINGLE(_xlfn.NORM.S.DIST(LN(A113/Calculator!$D$36)/Calculator!$D$26,TRUE())),"")</f>
        <v>0.99610107719389207</v>
      </c>
      <c r="E113" s="49">
        <f>IFERROR(_xlfn.SINGLE(_xlfn.NORM.S.DIST(LN(A113/Calculator!$D$37)/Calculator!$D$26,TRUE())),"")</f>
        <v>0.98836272447432671</v>
      </c>
      <c r="F113" s="49">
        <f>IFERROR(_xlfn.SINGLE(_xlfn.NORM.S.DIST(LN(A113/Calculator!$D$38)/Calculator!$D$26,TRUE())),"")</f>
        <v>0.55321189280751248</v>
      </c>
      <c r="G113" s="49">
        <v>0.3</v>
      </c>
    </row>
    <row r="114" spans="1:7" x14ac:dyDescent="0.25">
      <c r="A114" s="48">
        <v>3.37</v>
      </c>
      <c r="B114" s="49">
        <f>IFERROR(_xlfn.SINGLE(_xlfn.NORM.S.DIST(LN(A114/Calculator!$D$34)/Calculator!$D$26,TRUE())),"")</f>
        <v>0.99999999999992262</v>
      </c>
      <c r="C114" s="49">
        <f>IFERROR(_xlfn.SINGLE(_xlfn.NORM.S.DIST(LN(A114/Calculator!$D$35)/Calculator!$D$26,TRUE())),"")</f>
        <v>0.99999742389032775</v>
      </c>
      <c r="D114" s="49">
        <f>IFERROR(_xlfn.SINGLE(_xlfn.NORM.S.DIST(LN(A114/Calculator!$D$36)/Calculator!$D$26,TRUE())),"")</f>
        <v>0.99635234610729595</v>
      </c>
      <c r="E114" s="49">
        <f>IFERROR(_xlfn.SINGLE(_xlfn.NORM.S.DIST(LN(A114/Calculator!$D$37)/Calculator!$D$26,TRUE())),"")</f>
        <v>0.98902559257280598</v>
      </c>
      <c r="F114" s="49">
        <f>IFERROR(_xlfn.SINGLE(_xlfn.NORM.S.DIST(LN(A114/Calculator!$D$38)/Calculator!$D$26,TRUE())),"")</f>
        <v>0.56203679660008099</v>
      </c>
      <c r="G114" s="49">
        <v>0.3</v>
      </c>
    </row>
    <row r="115" spans="1:7" x14ac:dyDescent="0.25">
      <c r="A115" s="48">
        <v>3.4</v>
      </c>
      <c r="B115" s="49">
        <f>IFERROR(_xlfn.SINGLE(_xlfn.NORM.S.DIST(LN(A115/Calculator!$D$34)/Calculator!$D$26,TRUE())),"")</f>
        <v>0.9999999999999345</v>
      </c>
      <c r="C115" s="49">
        <f>IFERROR(_xlfn.SINGLE(_xlfn.NORM.S.DIST(LN(A115/Calculator!$D$35)/Calculator!$D$26,TRUE())),"")</f>
        <v>0.9999976823222092</v>
      </c>
      <c r="D115" s="49">
        <f>IFERROR(_xlfn.SINGLE(_xlfn.NORM.S.DIST(LN(A115/Calculator!$D$36)/Calculator!$D$26,TRUE())),"")</f>
        <v>0.99658695252565954</v>
      </c>
      <c r="E115" s="49">
        <f>IFERROR(_xlfn.SINGLE(_xlfn.NORM.S.DIST(LN(A115/Calculator!$D$37)/Calculator!$D$26,TRUE())),"")</f>
        <v>0.98964992427609999</v>
      </c>
      <c r="F115" s="49">
        <f>IFERROR(_xlfn.SINGLE(_xlfn.NORM.S.DIST(LN(A115/Calculator!$D$38)/Calculator!$D$26,TRUE())),"")</f>
        <v>0.57075316026155809</v>
      </c>
      <c r="G115" s="49">
        <v>0.3</v>
      </c>
    </row>
    <row r="116" spans="1:7" x14ac:dyDescent="0.25">
      <c r="A116" s="48">
        <v>3.43</v>
      </c>
      <c r="B116" s="49">
        <f>IFERROR(_xlfn.SINGLE(_xlfn.NORM.S.DIST(LN(A116/Calculator!$D$34)/Calculator!$D$26,TRUE())),"")</f>
        <v>0.99999999999994449</v>
      </c>
      <c r="C116" s="49">
        <f>IFERROR(_xlfn.SINGLE(_xlfn.NORM.S.DIST(LN(A116/Calculator!$D$35)/Calculator!$D$26,TRUE())),"")</f>
        <v>0.99999791386393966</v>
      </c>
      <c r="D116" s="49">
        <f>IFERROR(_xlfn.SINGLE(_xlfn.NORM.S.DIST(LN(A116/Calculator!$D$36)/Calculator!$D$26,TRUE())),"")</f>
        <v>0.99680602694760401</v>
      </c>
      <c r="E116" s="49">
        <f>IFERROR(_xlfn.SINGLE(_xlfn.NORM.S.DIST(LN(A116/Calculator!$D$37)/Calculator!$D$26,TRUE())),"")</f>
        <v>0.99023798327300072</v>
      </c>
      <c r="F116" s="49">
        <f>IFERROR(_xlfn.SINGLE(_xlfn.NORM.S.DIST(LN(A116/Calculator!$D$38)/Calculator!$D$26,TRUE())),"")</f>
        <v>0.57935905156870138</v>
      </c>
      <c r="G116" s="49">
        <v>0.3</v>
      </c>
    </row>
    <row r="117" spans="1:7" x14ac:dyDescent="0.25">
      <c r="A117" s="48">
        <v>3.46</v>
      </c>
      <c r="B117" s="49">
        <f>IFERROR(_xlfn.SINGLE(_xlfn.NORM.S.DIST(LN(A117/Calculator!$D$34)/Calculator!$D$26,TRUE())),"")</f>
        <v>0.99999999999995293</v>
      </c>
      <c r="C117" s="49">
        <f>IFERROR(_xlfn.SINGLE(_xlfn.NORM.S.DIST(LN(A117/Calculator!$D$35)/Calculator!$D$26,TRUE())),"")</f>
        <v>0.9999981214132333</v>
      </c>
      <c r="D117" s="49">
        <f>IFERROR(_xlfn.SINGLE(_xlfn.NORM.S.DIST(LN(A117/Calculator!$D$36)/Calculator!$D$26,TRUE())),"")</f>
        <v>0.99701062197753532</v>
      </c>
      <c r="E117" s="49">
        <f>IFERROR(_xlfn.SINGLE(_xlfn.NORM.S.DIST(LN(A117/Calculator!$D$37)/Calculator!$D$26,TRUE())),"")</f>
        <v>0.99079190091275349</v>
      </c>
      <c r="F117" s="49">
        <f>IFERROR(_xlfn.SINGLE(_xlfn.NORM.S.DIST(LN(A117/Calculator!$D$38)/Calculator!$D$26,TRUE())),"")</f>
        <v>0.58785273865106835</v>
      </c>
      <c r="G117" s="49">
        <v>0.3</v>
      </c>
    </row>
    <row r="118" spans="1:7" x14ac:dyDescent="0.25">
      <c r="A118" s="48">
        <v>3.49</v>
      </c>
      <c r="B118" s="49">
        <f>IFERROR(_xlfn.SINGLE(_xlfn.NORM.S.DIST(LN(A118/Calculator!$D$34)/Calculator!$D$26,TRUE())),"")</f>
        <v>0.99999999999996003</v>
      </c>
      <c r="C118" s="49">
        <f>IFERROR(_xlfn.SINGLE(_xlfn.NORM.S.DIST(LN(A118/Calculator!$D$35)/Calculator!$D$26,TRUE())),"")</f>
        <v>0.99999830754488161</v>
      </c>
      <c r="D118" s="49">
        <f>IFERROR(_xlfn.SINGLE(_xlfn.NORM.S.DIST(LN(A118/Calculator!$D$36)/Calculator!$D$26,TRUE())),"")</f>
        <v>0.99720171771961308</v>
      </c>
      <c r="E118" s="49">
        <f>IFERROR(_xlfn.SINGLE(_xlfn.NORM.S.DIST(LN(A118/Calculator!$D$37)/Calculator!$D$26,TRUE())),"")</f>
        <v>0.99131368370745276</v>
      </c>
      <c r="F118" s="49">
        <f>IFERROR(_xlfn.SINGLE(_xlfn.NORM.S.DIST(LN(A118/Calculator!$D$38)/Calculator!$D$26,TRUE())),"")</f>
        <v>0.59623268271437468</v>
      </c>
      <c r="G118" s="49">
        <v>0.3</v>
      </c>
    </row>
    <row r="119" spans="1:7" x14ac:dyDescent="0.25">
      <c r="A119" s="48">
        <v>3.52</v>
      </c>
      <c r="B119" s="49">
        <f>IFERROR(_xlfn.SINGLE(_xlfn.NORM.S.DIST(LN(A119/Calculator!$D$34)/Calculator!$D$26,TRUE())),"")</f>
        <v>0.99999999999996603</v>
      </c>
      <c r="C119" s="49">
        <f>IFERROR(_xlfn.SINGLE(_xlfn.NORM.S.DIST(LN(A119/Calculator!$D$35)/Calculator!$D$26,TRUE())),"")</f>
        <v>0.99999847454791613</v>
      </c>
      <c r="D119" s="49">
        <f>IFERROR(_xlfn.SINGLE(_xlfn.NORM.S.DIST(LN(A119/Calculator!$D$36)/Calculator!$D$26,TRUE())),"")</f>
        <v>0.99738022680240024</v>
      </c>
      <c r="E119" s="49">
        <f>IFERROR(_xlfn.SINGLE(_xlfn.NORM.S.DIST(LN(A119/Calculator!$D$37)/Calculator!$D$26,TRUE())),"")</f>
        <v>0.99180522044383401</v>
      </c>
      <c r="F119" s="49">
        <f>IFERROR(_xlfn.SINGLE(_xlfn.NORM.S.DIST(LN(A119/Calculator!$D$38)/Calculator!$D$26,TRUE())),"")</f>
        <v>0.60449753075302093</v>
      </c>
      <c r="G119" s="49">
        <v>0.3</v>
      </c>
    </row>
    <row r="120" spans="1:7" x14ac:dyDescent="0.25">
      <c r="A120" s="48">
        <v>3.55</v>
      </c>
      <c r="B120" s="49">
        <f>IFERROR(_xlfn.SINGLE(_xlfn.NORM.S.DIST(LN(A120/Calculator!$D$34)/Calculator!$D$26,TRUE())),"")</f>
        <v>0.99999999999997113</v>
      </c>
      <c r="C120" s="49">
        <f>IFERROR(_xlfn.SINGLE(_xlfn.NORM.S.DIST(LN(A120/Calculator!$D$35)/Calculator!$D$26,TRUE())),"")</f>
        <v>0.99999862445835963</v>
      </c>
      <c r="D120" s="49">
        <f>IFERROR(_xlfn.SINGLE(_xlfn.NORM.S.DIST(LN(A120/Calculator!$D$36)/Calculator!$D$26,TRUE())),"")</f>
        <v>0.9975469990584741</v>
      </c>
      <c r="E120" s="49">
        <f>IFERROR(_xlfn.SINGLE(_xlfn.NORM.S.DIST(LN(A120/Calculator!$D$37)/Calculator!$D$26,TRUE())),"")</f>
        <v>0.99226828892033259</v>
      </c>
      <c r="F120" s="49">
        <f>IFERROR(_xlfn.SINGLE(_xlfn.NORM.S.DIST(LN(A120/Calculator!$D$38)/Calculator!$D$26,TRUE())),"")</f>
        <v>0.61264610827628174</v>
      </c>
      <c r="G120" s="49">
        <v>0.3</v>
      </c>
    </row>
    <row r="121" spans="1:7" x14ac:dyDescent="0.25">
      <c r="A121" s="48">
        <v>3.58</v>
      </c>
      <c r="B121" s="49">
        <f>IFERROR(_xlfn.SINGLE(_xlfn.NORM.S.DIST(LN(A121/Calculator!$D$34)/Calculator!$D$26,TRUE())),"")</f>
        <v>0.99999999999997535</v>
      </c>
      <c r="C121" s="49">
        <f>IFERROR(_xlfn.SINGLE(_xlfn.NORM.S.DIST(LN(A121/Calculator!$D$35)/Calculator!$D$26,TRUE())),"")</f>
        <v>0.9999987590881072</v>
      </c>
      <c r="D121" s="49">
        <f>IFERROR(_xlfn.SINGLE(_xlfn.NORM.S.DIST(LN(A121/Calculator!$D$36)/Calculator!$D$26,TRUE())),"")</f>
        <v>0.99770282588184289</v>
      </c>
      <c r="E121" s="49">
        <f>IFERROR(_xlfn.SINGLE(_xlfn.NORM.S.DIST(LN(A121/Calculator!$D$37)/Calculator!$D$26,TRUE())),"")</f>
        <v>0.99270456232522575</v>
      </c>
      <c r="F121" s="49">
        <f>IFERROR(_xlfn.SINGLE(_xlfn.NORM.S.DIST(LN(A121/Calculator!$D$38)/Calculator!$D$26,TRUE())),"")</f>
        <v>0.62067741207040561</v>
      </c>
      <c r="G121" s="49">
        <v>0.3</v>
      </c>
    </row>
    <row r="122" spans="1:7" x14ac:dyDescent="0.25">
      <c r="A122" s="48">
        <v>3.61</v>
      </c>
      <c r="B122" s="49">
        <f>IFERROR(_xlfn.SINGLE(_xlfn.NORM.S.DIST(LN(A122/Calculator!$D$34)/Calculator!$D$26,TRUE())),"")</f>
        <v>0.99999999999997902</v>
      </c>
      <c r="C122" s="49">
        <f>IFERROR(_xlfn.SINGLE(_xlfn.NORM.S.DIST(LN(A122/Calculator!$D$35)/Calculator!$D$26,TRUE())),"")</f>
        <v>0.99999888005040705</v>
      </c>
      <c r="D122" s="49">
        <f>IFERROR(_xlfn.SINGLE(_xlfn.NORM.S.DIST(LN(A122/Calculator!$D$36)/Calculator!$D$26,TRUE())),"")</f>
        <v>0.99784844428464048</v>
      </c>
      <c r="E122" s="49">
        <f>IFERROR(_xlfn.SINGLE(_xlfn.NORM.S.DIST(LN(A122/Calculator!$D$37)/Calculator!$D$26,TRUE())),"")</f>
        <v>0.9931156152715187</v>
      </c>
      <c r="F122" s="49">
        <f>IFERROR(_xlfn.SINGLE(_xlfn.NORM.S.DIST(LN(A122/Calculator!$D$38)/Calculator!$D$26,TRUE())),"")</f>
        <v>0.62859060301673597</v>
      </c>
      <c r="G122" s="49">
        <v>0.3</v>
      </c>
    </row>
    <row r="123" spans="1:7" x14ac:dyDescent="0.25">
      <c r="A123" s="48">
        <v>3.64</v>
      </c>
      <c r="B123" s="49">
        <f>IFERROR(_xlfn.SINGLE(_xlfn.NORM.S.DIST(LN(A123/Calculator!$D$34)/Calculator!$D$26,TRUE())),"")</f>
        <v>0.99999999999998213</v>
      </c>
      <c r="C123" s="49">
        <f>IFERROR(_xlfn.SINGLE(_xlfn.NORM.S.DIST(LN(A123/Calculator!$D$35)/Calculator!$D$26,TRUE())),"")</f>
        <v>0.99999898878235371</v>
      </c>
      <c r="D123" s="49">
        <f>IFERROR(_xlfn.SINGLE(_xlfn.NORM.S.DIST(LN(A123/Calculator!$D$36)/Calculator!$D$26,TRUE())),"")</f>
        <v>0.99798454067325681</v>
      </c>
      <c r="E123" s="49">
        <f>IFERROR(_xlfn.SINGLE(_xlfn.NORM.S.DIST(LN(A123/Calculator!$D$37)/Calculator!$D$26,TRUE())),"")</f>
        <v>0.99350292950400043</v>
      </c>
      <c r="F123" s="49">
        <f>IFERROR(_xlfn.SINGLE(_xlfn.NORM.S.DIST(LN(A123/Calculator!$D$38)/Calculator!$D$26,TRUE())),"")</f>
        <v>0.63638499898396805</v>
      </c>
      <c r="G123" s="49">
        <v>0.3</v>
      </c>
    </row>
    <row r="124" spans="1:7" x14ac:dyDescent="0.25">
      <c r="A124" s="48">
        <v>3.67</v>
      </c>
      <c r="B124" s="49">
        <f>IFERROR(_xlfn.SINGLE(_xlfn.NORM.S.DIST(LN(A124/Calculator!$D$34)/Calculator!$D$26,TRUE())),"")</f>
        <v>0.99999999999998479</v>
      </c>
      <c r="C124" s="49">
        <f>IFERROR(_xlfn.SINGLE(_xlfn.NORM.S.DIST(LN(A124/Calculator!$D$35)/Calculator!$D$26,TRUE())),"")</f>
        <v>0.99999908656475422</v>
      </c>
      <c r="D124" s="49">
        <f>IFERROR(_xlfn.SINGLE(_xlfn.NORM.S.DIST(LN(A124/Calculator!$D$36)/Calculator!$D$26,TRUE())),"")</f>
        <v>0.99811175436281063</v>
      </c>
      <c r="E124" s="49">
        <f>IFERROR(_xlfn.SINGLE(_xlfn.NORM.S.DIST(LN(A124/Calculator!$D$37)/Calculator!$D$26,TRUE())),"")</f>
        <v>0.99386789929360064</v>
      </c>
      <c r="F124" s="49">
        <f>IFERROR(_xlfn.SINGLE(_xlfn.NORM.S.DIST(LN(A124/Calculator!$D$38)/Calculator!$D$26,TRUE())),"")</f>
        <v>0.64406006781073921</v>
      </c>
      <c r="G124" s="49">
        <v>0.3</v>
      </c>
    </row>
    <row r="125" spans="1:7" x14ac:dyDescent="0.25">
      <c r="A125" s="48">
        <v>3.7</v>
      </c>
      <c r="B125" s="49">
        <f>IFERROR(_xlfn.SINGLE(_xlfn.NORM.S.DIST(LN(A125/Calculator!$D$34)/Calculator!$D$26,TRUE())),"")</f>
        <v>0.99999999999998701</v>
      </c>
      <c r="C125" s="49">
        <f>IFERROR(_xlfn.SINGLE(_xlfn.NORM.S.DIST(LN(A125/Calculator!$D$35)/Calculator!$D$26,TRUE())),"")</f>
        <v>0.99999917453968323</v>
      </c>
      <c r="D125" s="49">
        <f>IFERROR(_xlfn.SINGLE(_xlfn.NORM.S.DIST(LN(A125/Calculator!$D$36)/Calculator!$D$26,TRUE())),"")</f>
        <v>0.99823068084768796</v>
      </c>
      <c r="E125" s="49">
        <f>IFERROR(_xlfn.SINGLE(_xlfn.NORM.S.DIST(LN(A125/Calculator!$D$37)/Calculator!$D$26,TRUE())),"")</f>
        <v>0.99421183653381939</v>
      </c>
      <c r="F125" s="49">
        <f>IFERROR(_xlfn.SINGLE(_xlfn.NORM.S.DIST(LN(A125/Calculator!$D$38)/Calculator!$D$26,TRUE())),"")</f>
        <v>0.6516154203929938</v>
      </c>
      <c r="G125" s="49">
        <v>0.3</v>
      </c>
    </row>
    <row r="126" spans="1:7" x14ac:dyDescent="0.25">
      <c r="A126" s="48">
        <v>3.73</v>
      </c>
      <c r="B126" s="49">
        <f>IFERROR(_xlfn.SINGLE(_xlfn.NORM.S.DIST(LN(A126/Calculator!$D$34)/Calculator!$D$26,TRUE())),"")</f>
        <v>0.9999999999999889</v>
      </c>
      <c r="C126" s="49">
        <f>IFERROR(_xlfn.SINGLE(_xlfn.NORM.S.DIST(LN(A126/Calculator!$D$35)/Calculator!$D$26,TRUE())),"")</f>
        <v>0.99999925372600473</v>
      </c>
      <c r="D126" s="49">
        <f>IFERROR(_xlfn.SINGLE(_xlfn.NORM.S.DIST(LN(A126/Calculator!$D$36)/Calculator!$D$26,TRUE())),"")</f>
        <v>0.99834187484473902</v>
      </c>
      <c r="E126" s="49">
        <f>IFERROR(_xlfn.SINGLE(_xlfn.NORM.S.DIST(LN(A126/Calculator!$D$37)/Calculator!$D$26,TRUE())),"")</f>
        <v>0.99453597555361284</v>
      </c>
      <c r="F126" s="49">
        <f>IFERROR(_xlfn.SINGLE(_xlfn.NORM.S.DIST(LN(A126/Calculator!$D$38)/Calculator!$D$26,TRUE())),"")</f>
        <v>0.65905080388887038</v>
      </c>
      <c r="G126" s="49">
        <v>0.3</v>
      </c>
    </row>
    <row r="127" spans="1:7" x14ac:dyDescent="0.25">
      <c r="A127" s="48">
        <v>3.76</v>
      </c>
      <c r="B127" s="49">
        <f>IFERROR(_xlfn.SINGLE(_xlfn.NORM.S.DIST(LN(A127/Calculator!$D$34)/Calculator!$D$26,TRUE())),"")</f>
        <v>0.99999999999999045</v>
      </c>
      <c r="C127" s="49">
        <f>IFERROR(_xlfn.SINGLE(_xlfn.NORM.S.DIST(LN(A127/Calculator!$D$35)/Calculator!$D$26,TRUE())),"")</f>
        <v>0.99999932503310174</v>
      </c>
      <c r="D127" s="49">
        <f>IFERROR(_xlfn.SINGLE(_xlfn.NORM.S.DIST(LN(A127/Calculator!$D$36)/Calculator!$D$26,TRUE())),"")</f>
        <v>0.99844585312466239</v>
      </c>
      <c r="E127" s="49">
        <f>IFERROR(_xlfn.SINGLE(_xlfn.NORM.S.DIST(LN(A127/Calculator!$D$37)/Calculator!$D$26,TRUE())),"")</f>
        <v>0.99484147766068531</v>
      </c>
      <c r="F127" s="49">
        <f>IFERROR(_xlfn.SINGLE(_xlfn.NORM.S.DIST(LN(A127/Calculator!$D$38)/Calculator!$D$26,TRUE())),"")</f>
        <v>0.66636609505231792</v>
      </c>
      <c r="G127" s="49">
        <v>0.3</v>
      </c>
    </row>
    <row r="128" spans="1:7" x14ac:dyDescent="0.25">
      <c r="A128" s="48">
        <v>3.79</v>
      </c>
      <c r="B128" s="49">
        <f>IFERROR(_xlfn.SINGLE(_xlfn.NORM.S.DIST(LN(A128/Calculator!$D$34)/Calculator!$D$26,TRUE())),"")</f>
        <v>0.99999999999999178</v>
      </c>
      <c r="C128" s="49">
        <f>IFERROR(_xlfn.SINGLE(_xlfn.NORM.S.DIST(LN(A128/Calculator!$D$35)/Calculator!$D$26,TRUE())),"")</f>
        <v>0.99999938927302801</v>
      </c>
      <c r="D128" s="49">
        <f>IFERROR(_xlfn.SINGLE(_xlfn.NORM.S.DIST(LN(A128/Calculator!$D$36)/Calculator!$D$26,TRUE())),"")</f>
        <v>0.99854309714610068</v>
      </c>
      <c r="E128" s="49">
        <f>IFERROR(_xlfn.SINGLE(_xlfn.NORM.S.DIST(LN(A128/Calculator!$D$37)/Calculator!$D$26,TRUE())),"")</f>
        <v>0.99512943542868648</v>
      </c>
      <c r="F128" s="49">
        <f>IFERROR(_xlfn.SINGLE(_xlfn.NORM.S.DIST(LN(A128/Calculator!$D$38)/Calculator!$D$26,TRUE())),"")</f>
        <v>0.67356129370517226</v>
      </c>
      <c r="G128" s="49">
        <v>0.3</v>
      </c>
    </row>
    <row r="129" spans="1:7" x14ac:dyDescent="0.25">
      <c r="A129" s="48">
        <v>3.82</v>
      </c>
      <c r="B129" s="49">
        <f>IFERROR(_xlfn.SINGLE(_xlfn.NORM.S.DIST(LN(A129/Calculator!$D$34)/Calculator!$D$26,TRUE())),"")</f>
        <v>0.99999999999999301</v>
      </c>
      <c r="C129" s="49">
        <f>IFERROR(_xlfn.SINGLE(_xlfn.NORM.S.DIST(LN(A129/Calculator!$D$35)/Calculator!$D$26,TRUE())),"")</f>
        <v>0.99999944717126865</v>
      </c>
      <c r="D129" s="49">
        <f>IFERROR(_xlfn.SINGLE(_xlfn.NORM.S.DIST(LN(A129/Calculator!$D$36)/Calculator!$D$26,TRUE())),"")</f>
        <v>0.99863405550601669</v>
      </c>
      <c r="E129" s="49">
        <f>IFERROR(_xlfn.SINGLE(_xlfn.NORM.S.DIST(LN(A129/Calculator!$D$37)/Calculator!$D$26,TRUE())),"")</f>
        <v>0.9954008767413427</v>
      </c>
      <c r="F129" s="49">
        <f>IFERROR(_xlfn.SINGLE(_xlfn.NORM.S.DIST(LN(A129/Calculator!$D$38)/Calculator!$D$26,TRUE())),"")</f>
        <v>0.68063651635608213</v>
      </c>
      <c r="G129" s="49">
        <v>0.3</v>
      </c>
    </row>
    <row r="130" spans="1:7" x14ac:dyDescent="0.25">
      <c r="A130" s="48">
        <v>3.85</v>
      </c>
      <c r="B130" s="49">
        <f>IFERROR(_xlfn.SINGLE(_xlfn.NORM.S.DIST(LN(A130/Calculator!$D$34)/Calculator!$D$26,TRUE())),"")</f>
        <v>0.999999999999994</v>
      </c>
      <c r="C130" s="49">
        <f>IFERROR(_xlfn.SINGLE(_xlfn.NORM.S.DIST(LN(A130/Calculator!$D$35)/Calculator!$D$26,TRUE())),"")</f>
        <v>0.99999949937627342</v>
      </c>
      <c r="D130" s="49">
        <f>IFERROR(_xlfn.SINGLE(_xlfn.NORM.S.DIST(LN(A130/Calculator!$D$36)/Calculator!$D$26,TRUE())),"")</f>
        <v>0.99871914621902991</v>
      </c>
      <c r="E130" s="49">
        <f>IFERROR(_xlfn.SINGLE(_xlfn.NORM.S.DIST(LN(A130/Calculator!$D$37)/Calculator!$D$26,TRUE())),"")</f>
        <v>0.99565676860606822</v>
      </c>
      <c r="F130" s="49">
        <f>IFERROR(_xlfn.SINGLE(_xlfn.NORM.S.DIST(LN(A130/Calculator!$D$38)/Calculator!$D$26,TRUE())),"")</f>
        <v>0.68759198997340509</v>
      </c>
      <c r="G130" s="49">
        <v>0.3</v>
      </c>
    </row>
    <row r="131" spans="1:7" x14ac:dyDescent="0.25">
      <c r="A131" s="48">
        <v>3.88</v>
      </c>
      <c r="B131" s="49">
        <f>IFERROR(_xlfn.SINGLE(_xlfn.NORM.S.DIST(LN(A131/Calculator!$D$34)/Calculator!$D$26,TRUE())),"")</f>
        <v>0.99999999999999489</v>
      </c>
      <c r="C131" s="49">
        <f>IFERROR(_xlfn.SINGLE(_xlfn.NORM.S.DIST(LN(A131/Calculator!$D$35)/Calculator!$D$26,TRUE())),"")</f>
        <v>0.99999954646790623</v>
      </c>
      <c r="D131" s="49">
        <f>IFERROR(_xlfn.SINGLE(_xlfn.NORM.S.DIST(LN(A131/Calculator!$D$36)/Calculator!$D$26,TRUE())),"")</f>
        <v>0.9987987588375481</v>
      </c>
      <c r="E131" s="49">
        <f>IFERROR(_xlfn.SINGLE(_xlfn.NORM.S.DIST(LN(A131/Calculator!$D$37)/Calculator!$D$26,TRUE())),"")</f>
        <v>0.99589802074911282</v>
      </c>
      <c r="F131" s="49">
        <f>IFERROR(_xlfn.SINGLE(_xlfn.NORM.S.DIST(LN(A131/Calculator!$D$38)/Calculator!$D$26,TRUE())),"")</f>
        <v>0.69442804591802954</v>
      </c>
      <c r="G131" s="49">
        <v>0.3</v>
      </c>
    </row>
    <row r="132" spans="1:7" x14ac:dyDescent="0.25">
      <c r="A132" s="48">
        <v>3.91</v>
      </c>
      <c r="B132" s="49">
        <f>IFERROR(_xlfn.SINGLE(_xlfn.NORM.S.DIST(LN(A132/Calculator!$D$34)/Calculator!$D$26,TRUE())),"")</f>
        <v>0.99999999999999556</v>
      </c>
      <c r="C132" s="49">
        <f>IFERROR(_xlfn.SINGLE(_xlfn.NORM.S.DIST(LN(A132/Calculator!$D$35)/Calculator!$D$26,TRUE())),"")</f>
        <v>0.99999958896493912</v>
      </c>
      <c r="D132" s="49">
        <f>IFERROR(_xlfn.SINGLE(_xlfn.NORM.S.DIST(LN(A132/Calculator!$D$36)/Calculator!$D$26,TRUE())),"")</f>
        <v>0.99887325642373637</v>
      </c>
      <c r="E132" s="49">
        <f>IFERROR(_xlfn.SINGLE(_xlfn.NORM.S.DIST(LN(A132/Calculator!$D$37)/Calculator!$D$26,TRUE())),"")</f>
        <v>0.99612548900381215</v>
      </c>
      <c r="F132" s="49">
        <f>IFERROR(_xlfn.SINGLE(_xlfn.NORM.S.DIST(LN(A132/Calculator!$D$38)/Calculator!$D$26,TRUE())),"")</f>
        <v>0.70114511404100388</v>
      </c>
      <c r="G132" s="49">
        <v>0.3</v>
      </c>
    </row>
    <row r="133" spans="1:7" x14ac:dyDescent="0.25">
      <c r="A133" s="48">
        <v>3.94</v>
      </c>
      <c r="B133" s="49">
        <f>IFERROR(_xlfn.SINGLE(_xlfn.NORM.S.DIST(LN(A133/Calculator!$D$34)/Calculator!$D$26,TRUE())),"")</f>
        <v>0.99999999999999623</v>
      </c>
      <c r="C133" s="49">
        <f>IFERROR(_xlfn.SINGLE(_xlfn.NORM.S.DIST(LN(A133/Calculator!$D$35)/Calculator!$D$26,TRUE())),"")</f>
        <v>0.999999627331702</v>
      </c>
      <c r="D133" s="49">
        <f>IFERROR(_xlfn.SINGLE(_xlfn.NORM.S.DIST(LN(A133/Calculator!$D$36)/Calculator!$D$26,TRUE())),"")</f>
        <v>0.99894297738362736</v>
      </c>
      <c r="E133" s="49">
        <f>IFERROR(_xlfn.SINGLE(_xlfn.NORM.S.DIST(LN(A133/Calculator!$D$37)/Calculator!$D$26,TRUE())),"")</f>
        <v>0.99633997850301592</v>
      </c>
      <c r="F133" s="49">
        <f>IFERROR(_xlfn.SINGLE(_xlfn.NORM.S.DIST(LN(A133/Calculator!$D$38)/Calculator!$D$26,TRUE())),"")</f>
        <v>0.7077437169498535</v>
      </c>
      <c r="G133" s="49">
        <v>0.3</v>
      </c>
    </row>
    <row r="134" spans="1:7" x14ac:dyDescent="0.25">
      <c r="A134" s="48">
        <v>3.97</v>
      </c>
      <c r="B134" s="49">
        <f>IFERROR(_xlfn.SINGLE(_xlfn.NORM.S.DIST(LN(A134/Calculator!$D$34)/Calculator!$D$26,TRUE())),"")</f>
        <v>0.99999999999999667</v>
      </c>
      <c r="C134" s="49">
        <f>IFERROR(_xlfn.SINGLE(_xlfn.NORM.S.DIST(LN(A134/Calculator!$D$35)/Calculator!$D$26,TRUE())),"")</f>
        <v>0.99999966198398416</v>
      </c>
      <c r="D134" s="49">
        <f>IFERROR(_xlfn.SINGLE(_xlfn.NORM.S.DIST(LN(A134/Calculator!$D$36)/Calculator!$D$26,TRUE())),"")</f>
        <v>0.99900823717297416</v>
      </c>
      <c r="E134" s="49">
        <f>IFERROR(_xlfn.SINGLE(_xlfn.NORM.S.DIST(LN(A134/Calculator!$D$37)/Calculator!$D$26,TRUE())),"")</f>
        <v>0.99654224668628621</v>
      </c>
      <c r="F134" s="49">
        <f>IFERROR(_xlfn.SINGLE(_xlfn.NORM.S.DIST(LN(A134/Calculator!$D$38)/Calculator!$D$26,TRUE())),"")</f>
        <v>0.71422446444656207</v>
      </c>
      <c r="G134" s="49">
        <v>0.3</v>
      </c>
    </row>
    <row r="135" spans="1:7" x14ac:dyDescent="0.25">
      <c r="A135" s="48">
        <v>4</v>
      </c>
      <c r="B135" s="49">
        <f>IFERROR(_xlfn.SINGLE(_xlfn.NORM.S.DIST(LN(A135/Calculator!$D$34)/Calculator!$D$26,TRUE())),"")</f>
        <v>0.99999999999999722</v>
      </c>
      <c r="C135" s="49">
        <f>IFERROR(_xlfn.SINGLE(_xlfn.NORM.S.DIST(LN(A135/Calculator!$D$35)/Calculator!$D$26,TRUE())),"")</f>
        <v>0.99999969329427685</v>
      </c>
      <c r="D135" s="49">
        <f>IFERROR(_xlfn.SINGLE(_xlfn.NORM.S.DIST(LN(A135/Calculator!$D$36)/Calculator!$D$26,TRUE())),"")</f>
        <v>0.99906932988379982</v>
      </c>
      <c r="E135" s="49">
        <f>IFERROR(_xlfn.SINGLE(_xlfn.NORM.S.DIST(LN(A135/Calculator!$D$37)/Calculator!$D$26,TRUE())),"")</f>
        <v>0.99673300613197846</v>
      </c>
      <c r="F135" s="49">
        <f>IFERROR(_xlfn.SINGLE(_xlfn.NORM.S.DIST(LN(A135/Calculator!$D$38)/Calculator!$D$26,TRUE())),"")</f>
        <v>0.72058804813934729</v>
      </c>
      <c r="G135" s="49">
        <v>0.3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Calculator</vt:lpstr>
      <vt:lpstr>Fragility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OMAIR SHAFIQ</cp:lastModifiedBy>
  <cp:revision>1</cp:revision>
  <cp:lastPrinted>2026-06-25T21:39:23Z</cp:lastPrinted>
  <dcterms:created xsi:type="dcterms:W3CDTF">2026-06-25T20:54:35Z</dcterms:created>
  <dcterms:modified xsi:type="dcterms:W3CDTF">2026-06-25T21:39:33Z</dcterms:modified>
  <dc:language>en-US</dc:language>
</cp:coreProperties>
</file>